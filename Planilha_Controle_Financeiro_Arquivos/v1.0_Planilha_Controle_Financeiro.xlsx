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Planilha_Controle_Financeiro\Planilha_Controle_Financeiro_Arquivos\"/>
    </mc:Choice>
  </mc:AlternateContent>
  <xr:revisionPtr revIDLastSave="0" documentId="8_{CE76BC82-D68A-41C9-A0E3-FA765CD16A3D}" xr6:coauthVersionLast="47" xr6:coauthVersionMax="47" xr10:uidLastSave="{00000000-0000-0000-0000-000000000000}"/>
  <bookViews>
    <workbookView xWindow="-120" yWindow="-120" windowWidth="20730" windowHeight="11160" xr2:uid="{E77EF651-455D-4D09-82C7-9A7213ECB6A1}"/>
  </bookViews>
  <sheets>
    <sheet name="2026" sheetId="1" r:id="rId1"/>
  </sheets>
  <definedNames>
    <definedName name="Tabela_Base">'2026'!$A$1:$BJ$34</definedName>
    <definedName name="tBase">'2026'!$A$1:$BJ$34</definedName>
    <definedName name="tbaseteste">'2026'!$A$2:$BH$34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4" i="1" l="1"/>
  <c r="BI14" i="1" s="1"/>
  <c r="BE34" i="1"/>
  <c r="BA34" i="1"/>
  <c r="BI13" i="1" s="1"/>
  <c r="AZ34" i="1"/>
  <c r="AV34" i="1"/>
  <c r="BI12" i="1" s="1"/>
  <c r="AU34" i="1"/>
  <c r="AQ34" i="1"/>
  <c r="BI11" i="1" s="1"/>
  <c r="AP34" i="1"/>
  <c r="AL34" i="1"/>
  <c r="BI10" i="1" s="1"/>
  <c r="AK34" i="1"/>
  <c r="AG34" i="1"/>
  <c r="BI9" i="1" s="1"/>
  <c r="AF34" i="1"/>
  <c r="AB34" i="1"/>
  <c r="BI8" i="1" s="1"/>
  <c r="AA34" i="1"/>
  <c r="W34" i="1"/>
  <c r="BI7" i="1" s="1"/>
  <c r="V34" i="1"/>
  <c r="R34" i="1"/>
  <c r="BI6" i="1" s="1"/>
  <c r="Q34" i="1"/>
  <c r="M34" i="1"/>
  <c r="BI5" i="1" s="1"/>
  <c r="L34" i="1"/>
  <c r="H34" i="1"/>
  <c r="BI4" i="1" s="1"/>
  <c r="G34" i="1"/>
  <c r="C34" i="1"/>
  <c r="BI3" i="1" s="1"/>
  <c r="B34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J2" i="1" l="1"/>
  <c r="E34" i="1"/>
  <c r="D5" i="1" s="1"/>
  <c r="J3" i="1"/>
  <c r="J34" i="1"/>
  <c r="D15" i="1" l="1"/>
  <c r="D14" i="1"/>
  <c r="D12" i="1"/>
  <c r="D19" i="1"/>
  <c r="D6" i="1"/>
  <c r="D18" i="1"/>
  <c r="D11" i="1"/>
  <c r="D17" i="1"/>
  <c r="D9" i="1"/>
  <c r="D20" i="1"/>
  <c r="D10" i="1"/>
  <c r="D16" i="1"/>
  <c r="D7" i="1"/>
  <c r="D8" i="1"/>
  <c r="D4" i="1"/>
  <c r="D13" i="1"/>
  <c r="I3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"/>
  <c r="J4" i="1"/>
  <c r="I4" i="1" s="1"/>
  <c r="J5" i="1" l="1"/>
  <c r="I5" i="1" s="1"/>
  <c r="J6" i="1" l="1"/>
  <c r="I6" i="1" s="1"/>
  <c r="J7" i="1" l="1"/>
  <c r="I7" i="1" s="1"/>
  <c r="J8" i="1" l="1"/>
  <c r="I8" i="1" s="1"/>
  <c r="J9" i="1" l="1"/>
  <c r="I9" i="1" s="1"/>
  <c r="J10" i="1" l="1"/>
  <c r="I10" i="1" s="1"/>
  <c r="J11" i="1" l="1"/>
  <c r="I11" i="1" s="1"/>
  <c r="J12" i="1" l="1"/>
  <c r="I12" i="1" s="1"/>
  <c r="J13" i="1" l="1"/>
  <c r="I13" i="1" s="1"/>
  <c r="J14" i="1" l="1"/>
  <c r="I14" i="1" s="1"/>
  <c r="J15" i="1" l="1"/>
  <c r="I15" i="1" s="1"/>
  <c r="J16" i="1" l="1"/>
  <c r="I16" i="1" s="1"/>
  <c r="J17" i="1" l="1"/>
  <c r="I17" i="1" s="1"/>
  <c r="J18" i="1" l="1"/>
  <c r="I18" i="1" s="1"/>
  <c r="J19" i="1" l="1"/>
  <c r="I19" i="1" s="1"/>
  <c r="J20" i="1" l="1"/>
  <c r="I20" i="1" s="1"/>
  <c r="J21" i="1" l="1"/>
  <c r="I21" i="1" s="1"/>
  <c r="J22" i="1" l="1"/>
  <c r="I22" i="1" s="1"/>
  <c r="J23" i="1" l="1"/>
  <c r="I23" i="1" s="1"/>
  <c r="J24" i="1" l="1"/>
  <c r="I24" i="1" s="1"/>
  <c r="J25" i="1" l="1"/>
  <c r="I25" i="1" s="1"/>
  <c r="J26" i="1" l="1"/>
  <c r="I26" i="1" s="1"/>
  <c r="J27" i="1" l="1"/>
  <c r="I27" i="1" s="1"/>
  <c r="J28" i="1" l="1"/>
  <c r="I28" i="1" s="1"/>
  <c r="J29" i="1" l="1"/>
  <c r="I29" i="1" s="1"/>
  <c r="J30" i="1" l="1"/>
  <c r="I30" i="1" s="1"/>
  <c r="J31" i="1" l="1"/>
  <c r="I31" i="1" s="1"/>
  <c r="J32" i="1" l="1"/>
  <c r="I32" i="1" s="1"/>
  <c r="J33" i="1" l="1"/>
  <c r="I33" i="1" s="1"/>
  <c r="O3" i="1" l="1"/>
  <c r="O34" i="1"/>
  <c r="N3" i="1" l="1"/>
  <c r="O4" i="1"/>
  <c r="N4" i="1" s="1"/>
  <c r="O5" i="1" l="1"/>
  <c r="N5" i="1" s="1"/>
  <c r="O6" i="1" l="1"/>
  <c r="N6" i="1" s="1"/>
  <c r="O7" i="1" l="1"/>
  <c r="N7" i="1" s="1"/>
  <c r="O8" i="1" l="1"/>
  <c r="N8" i="1" s="1"/>
  <c r="O9" i="1" l="1"/>
  <c r="N9" i="1" s="1"/>
  <c r="O10" i="1" l="1"/>
  <c r="N10" i="1" s="1"/>
  <c r="O11" i="1" l="1"/>
  <c r="N11" i="1" s="1"/>
  <c r="O12" i="1" l="1"/>
  <c r="N12" i="1" s="1"/>
  <c r="O13" i="1" l="1"/>
  <c r="N13" i="1" s="1"/>
  <c r="O14" i="1" l="1"/>
  <c r="N14" i="1" s="1"/>
  <c r="O15" i="1" l="1"/>
  <c r="N15" i="1" s="1"/>
  <c r="O16" i="1" l="1"/>
  <c r="N16" i="1" s="1"/>
  <c r="O17" i="1" l="1"/>
  <c r="N17" i="1" s="1"/>
  <c r="O18" i="1" l="1"/>
  <c r="N18" i="1" s="1"/>
  <c r="O19" i="1" l="1"/>
  <c r="N19" i="1" s="1"/>
  <c r="O20" i="1" l="1"/>
  <c r="N20" i="1" s="1"/>
  <c r="O21" i="1" l="1"/>
  <c r="N21" i="1" s="1"/>
  <c r="O22" i="1" l="1"/>
  <c r="N22" i="1" s="1"/>
  <c r="O23" i="1" l="1"/>
  <c r="N23" i="1" s="1"/>
  <c r="O24" i="1" l="1"/>
  <c r="N24" i="1" s="1"/>
  <c r="O25" i="1" l="1"/>
  <c r="N25" i="1" s="1"/>
  <c r="O26" i="1" l="1"/>
  <c r="N26" i="1" s="1"/>
  <c r="O27" i="1" l="1"/>
  <c r="N27" i="1" s="1"/>
  <c r="O28" i="1" l="1"/>
  <c r="N28" i="1" s="1"/>
  <c r="O29" i="1" l="1"/>
  <c r="N29" i="1" s="1"/>
  <c r="O30" i="1" l="1"/>
  <c r="N30" i="1" s="1"/>
  <c r="O31" i="1" l="1"/>
  <c r="N31" i="1" s="1"/>
  <c r="O32" i="1" l="1"/>
  <c r="N32" i="1" s="1"/>
  <c r="O33" i="1" l="1"/>
  <c r="N33" i="1" s="1"/>
  <c r="T34" i="1" l="1"/>
  <c r="T3" i="1"/>
  <c r="S3" i="1" l="1"/>
  <c r="T4" i="1"/>
  <c r="S4" i="1" s="1"/>
  <c r="T5" i="1" l="1"/>
  <c r="S5" i="1" s="1"/>
  <c r="T6" i="1" l="1"/>
  <c r="S6" i="1" s="1"/>
  <c r="T7" i="1" l="1"/>
  <c r="S7" i="1" s="1"/>
  <c r="T8" i="1" l="1"/>
  <c r="S8" i="1" s="1"/>
  <c r="T9" i="1" l="1"/>
  <c r="S9" i="1" s="1"/>
  <c r="T10" i="1" l="1"/>
  <c r="S10" i="1" s="1"/>
  <c r="T11" i="1" l="1"/>
  <c r="S11" i="1" s="1"/>
  <c r="T12" i="1" l="1"/>
  <c r="S12" i="1" s="1"/>
  <c r="T13" i="1" l="1"/>
  <c r="S13" i="1" s="1"/>
  <c r="T14" i="1" l="1"/>
  <c r="S14" i="1" s="1"/>
  <c r="T15" i="1" l="1"/>
  <c r="S15" i="1" s="1"/>
  <c r="T16" i="1" l="1"/>
  <c r="S16" i="1" s="1"/>
  <c r="T17" i="1" l="1"/>
  <c r="S17" i="1" s="1"/>
  <c r="T18" i="1" l="1"/>
  <c r="S18" i="1" s="1"/>
  <c r="T19" i="1" l="1"/>
  <c r="S19" i="1" s="1"/>
  <c r="T20" i="1" l="1"/>
  <c r="S20" i="1" s="1"/>
  <c r="T21" i="1" l="1"/>
  <c r="S21" i="1" s="1"/>
  <c r="T22" i="1" l="1"/>
  <c r="S22" i="1" s="1"/>
  <c r="T23" i="1" l="1"/>
  <c r="S23" i="1" s="1"/>
  <c r="T24" i="1" l="1"/>
  <c r="S24" i="1" s="1"/>
  <c r="T25" i="1" l="1"/>
  <c r="S25" i="1" s="1"/>
  <c r="T26" i="1" l="1"/>
  <c r="S26" i="1" s="1"/>
  <c r="T27" i="1" l="1"/>
  <c r="S27" i="1" s="1"/>
  <c r="T28" i="1" l="1"/>
  <c r="S28" i="1" s="1"/>
  <c r="T29" i="1" l="1"/>
  <c r="S29" i="1" s="1"/>
  <c r="T30" i="1" l="1"/>
  <c r="S30" i="1" s="1"/>
  <c r="T31" i="1" l="1"/>
  <c r="S31" i="1" s="1"/>
  <c r="T32" i="1" l="1"/>
  <c r="S32" i="1" s="1"/>
  <c r="T33" i="1" l="1"/>
  <c r="S33" i="1" s="1"/>
  <c r="Y3" i="1" l="1"/>
  <c r="Y34" i="1"/>
  <c r="X3" i="1" l="1"/>
  <c r="Y4" i="1"/>
  <c r="X4" i="1" s="1"/>
  <c r="Y5" i="1" l="1"/>
  <c r="X5" i="1" s="1"/>
  <c r="Y6" i="1" l="1"/>
  <c r="X6" i="1" s="1"/>
  <c r="Y7" i="1" l="1"/>
  <c r="X7" i="1" s="1"/>
  <c r="Y8" i="1" l="1"/>
  <c r="X8" i="1" s="1"/>
  <c r="Y9" i="1" l="1"/>
  <c r="X9" i="1" s="1"/>
  <c r="Y10" i="1" l="1"/>
  <c r="X10" i="1" s="1"/>
  <c r="Y11" i="1" l="1"/>
  <c r="X11" i="1" s="1"/>
  <c r="Y12" i="1" l="1"/>
  <c r="X12" i="1" s="1"/>
  <c r="Y13" i="1" l="1"/>
  <c r="X13" i="1" s="1"/>
  <c r="Y14" i="1" l="1"/>
  <c r="X14" i="1" s="1"/>
  <c r="Y15" i="1" l="1"/>
  <c r="X15" i="1" s="1"/>
  <c r="Y16" i="1" l="1"/>
  <c r="X16" i="1" s="1"/>
  <c r="Y17" i="1" l="1"/>
  <c r="X17" i="1" s="1"/>
  <c r="Y18" i="1" l="1"/>
  <c r="X18" i="1" s="1"/>
  <c r="Y19" i="1" l="1"/>
  <c r="X19" i="1" s="1"/>
  <c r="Y20" i="1" l="1"/>
  <c r="X20" i="1" s="1"/>
  <c r="Y21" i="1" l="1"/>
  <c r="X21" i="1" s="1"/>
  <c r="Y22" i="1" l="1"/>
  <c r="X22" i="1" s="1"/>
  <c r="Y23" i="1" l="1"/>
  <c r="X23" i="1" s="1"/>
  <c r="Y24" i="1" l="1"/>
  <c r="X24" i="1" s="1"/>
  <c r="Y25" i="1" l="1"/>
  <c r="X25" i="1" s="1"/>
  <c r="Y26" i="1" l="1"/>
  <c r="X26" i="1" s="1"/>
  <c r="Y27" i="1" l="1"/>
  <c r="X27" i="1" s="1"/>
  <c r="Y28" i="1" l="1"/>
  <c r="X28" i="1" s="1"/>
  <c r="Y29" i="1" l="1"/>
  <c r="X29" i="1" s="1"/>
  <c r="Y30" i="1" l="1"/>
  <c r="X30" i="1" s="1"/>
  <c r="Y31" i="1" l="1"/>
  <c r="X31" i="1" s="1"/>
  <c r="Y32" i="1" l="1"/>
  <c r="X32" i="1" s="1"/>
  <c r="Y33" i="1" l="1"/>
  <c r="X33" i="1" s="1"/>
  <c r="AD34" i="1" l="1"/>
  <c r="AD3" i="1"/>
  <c r="AC3" i="1" s="1"/>
  <c r="AD4" i="1" l="1"/>
  <c r="AC4" i="1" s="1"/>
  <c r="AD5" i="1" l="1"/>
  <c r="AC5" i="1" s="1"/>
  <c r="AD6" i="1" l="1"/>
  <c r="AC6" i="1" s="1"/>
  <c r="AD7" i="1" l="1"/>
  <c r="AC7" i="1" s="1"/>
  <c r="AD8" i="1" l="1"/>
  <c r="AC8" i="1" s="1"/>
  <c r="AD9" i="1" l="1"/>
  <c r="AC9" i="1" s="1"/>
  <c r="AD10" i="1" l="1"/>
  <c r="AC10" i="1" s="1"/>
  <c r="AD11" i="1" l="1"/>
  <c r="AC11" i="1" s="1"/>
  <c r="AD12" i="1" l="1"/>
  <c r="AC12" i="1" s="1"/>
  <c r="AD13" i="1" l="1"/>
  <c r="AC13" i="1" s="1"/>
  <c r="AD14" i="1" l="1"/>
  <c r="AC14" i="1" s="1"/>
  <c r="AD15" i="1" l="1"/>
  <c r="AC15" i="1" s="1"/>
  <c r="AD16" i="1" l="1"/>
  <c r="AC16" i="1" s="1"/>
  <c r="AD17" i="1" l="1"/>
  <c r="AC17" i="1" s="1"/>
  <c r="AD18" i="1" l="1"/>
  <c r="AC18" i="1" s="1"/>
  <c r="AD19" i="1" l="1"/>
  <c r="AC19" i="1" s="1"/>
  <c r="AD20" i="1" l="1"/>
  <c r="AC20" i="1" s="1"/>
  <c r="AD21" i="1" l="1"/>
  <c r="AC21" i="1" s="1"/>
  <c r="AD22" i="1" l="1"/>
  <c r="AC22" i="1" s="1"/>
  <c r="AD23" i="1" l="1"/>
  <c r="AC23" i="1" s="1"/>
  <c r="AD24" i="1" l="1"/>
  <c r="AC24" i="1" s="1"/>
  <c r="AD25" i="1" l="1"/>
  <c r="AC25" i="1" s="1"/>
  <c r="AD26" i="1" l="1"/>
  <c r="AC26" i="1" s="1"/>
  <c r="AD27" i="1" l="1"/>
  <c r="AC27" i="1" s="1"/>
  <c r="AD28" i="1" l="1"/>
  <c r="AC28" i="1" s="1"/>
  <c r="AD29" i="1" l="1"/>
  <c r="AC29" i="1" s="1"/>
  <c r="AD30" i="1" l="1"/>
  <c r="AC30" i="1" s="1"/>
  <c r="AD31" i="1" l="1"/>
  <c r="AC31" i="1" s="1"/>
  <c r="AD32" i="1" l="1"/>
  <c r="AC32" i="1" s="1"/>
  <c r="AD33" i="1" l="1"/>
  <c r="AC33" i="1" s="1"/>
  <c r="AI34" i="1" l="1"/>
  <c r="AI3" i="1"/>
  <c r="AH3" i="1" l="1"/>
  <c r="AI4" i="1"/>
  <c r="AH4" i="1" s="1"/>
  <c r="AI5" i="1" l="1"/>
  <c r="AH5" i="1" s="1"/>
  <c r="AI6" i="1" l="1"/>
  <c r="AH6" i="1" s="1"/>
  <c r="AI7" i="1" l="1"/>
  <c r="AH7" i="1" s="1"/>
  <c r="AI8" i="1" l="1"/>
  <c r="AH8" i="1" s="1"/>
  <c r="AI9" i="1" l="1"/>
  <c r="AH9" i="1" s="1"/>
  <c r="AI10" i="1" l="1"/>
  <c r="AH10" i="1" s="1"/>
  <c r="AI11" i="1" l="1"/>
  <c r="AH11" i="1" s="1"/>
  <c r="AI12" i="1" l="1"/>
  <c r="AH12" i="1" s="1"/>
  <c r="AI13" i="1" l="1"/>
  <c r="AH13" i="1" s="1"/>
  <c r="AI14" i="1" l="1"/>
  <c r="AH14" i="1" s="1"/>
  <c r="AI15" i="1" l="1"/>
  <c r="AH15" i="1" s="1"/>
  <c r="AI16" i="1" l="1"/>
  <c r="AH16" i="1" s="1"/>
  <c r="AI17" i="1" l="1"/>
  <c r="AH17" i="1" s="1"/>
  <c r="AI18" i="1" l="1"/>
  <c r="AH18" i="1" s="1"/>
  <c r="AI19" i="1" l="1"/>
  <c r="AH19" i="1" s="1"/>
  <c r="AI20" i="1" l="1"/>
  <c r="AH20" i="1" s="1"/>
  <c r="AI21" i="1" l="1"/>
  <c r="AH21" i="1" s="1"/>
  <c r="AI22" i="1" l="1"/>
  <c r="AH22" i="1" s="1"/>
  <c r="AI23" i="1" l="1"/>
  <c r="AH23" i="1" s="1"/>
  <c r="AI24" i="1" l="1"/>
  <c r="AH24" i="1" s="1"/>
  <c r="AI25" i="1" l="1"/>
  <c r="AH25" i="1" s="1"/>
  <c r="AI26" i="1" l="1"/>
  <c r="AH26" i="1" s="1"/>
  <c r="AI27" i="1" l="1"/>
  <c r="AH27" i="1" s="1"/>
  <c r="AI28" i="1" l="1"/>
  <c r="AH28" i="1" s="1"/>
  <c r="AI29" i="1" l="1"/>
  <c r="AH29" i="1" s="1"/>
  <c r="AI30" i="1" l="1"/>
  <c r="AH30" i="1" s="1"/>
  <c r="AI31" i="1" l="1"/>
  <c r="AH31" i="1" s="1"/>
  <c r="AI32" i="1" l="1"/>
  <c r="AH32" i="1" s="1"/>
  <c r="AI33" i="1" l="1"/>
  <c r="AH33" i="1" s="1"/>
  <c r="AN34" i="1" l="1"/>
  <c r="AN3" i="1"/>
  <c r="AM3" i="1" l="1"/>
  <c r="AN4" i="1"/>
  <c r="AM4" i="1" s="1"/>
  <c r="AN5" i="1" l="1"/>
  <c r="AM5" i="1" s="1"/>
  <c r="AN6" i="1" l="1"/>
  <c r="AM6" i="1" s="1"/>
  <c r="AN7" i="1" l="1"/>
  <c r="AM7" i="1" s="1"/>
  <c r="AN8" i="1" l="1"/>
  <c r="AM8" i="1" s="1"/>
  <c r="AN9" i="1" l="1"/>
  <c r="AM9" i="1" s="1"/>
  <c r="AN10" i="1" l="1"/>
  <c r="AM10" i="1" s="1"/>
  <c r="AN11" i="1" l="1"/>
  <c r="AM11" i="1" s="1"/>
  <c r="AN12" i="1" l="1"/>
  <c r="AM12" i="1" s="1"/>
  <c r="AN13" i="1" l="1"/>
  <c r="AM13" i="1" s="1"/>
  <c r="AN14" i="1" l="1"/>
  <c r="AM14" i="1" s="1"/>
  <c r="AN15" i="1" l="1"/>
  <c r="AM15" i="1" s="1"/>
  <c r="AN16" i="1" l="1"/>
  <c r="AM16" i="1" s="1"/>
  <c r="AN17" i="1" l="1"/>
  <c r="AM17" i="1" s="1"/>
  <c r="AN18" i="1" l="1"/>
  <c r="AM18" i="1" s="1"/>
  <c r="AN19" i="1" l="1"/>
  <c r="AM19" i="1" s="1"/>
  <c r="AN20" i="1" l="1"/>
  <c r="AM20" i="1" s="1"/>
  <c r="AN21" i="1" l="1"/>
  <c r="AM21" i="1" s="1"/>
  <c r="AN22" i="1" l="1"/>
  <c r="AM22" i="1" s="1"/>
  <c r="AN23" i="1" l="1"/>
  <c r="AM23" i="1" s="1"/>
  <c r="AN24" i="1" l="1"/>
  <c r="AM24" i="1" s="1"/>
  <c r="AN25" i="1" l="1"/>
  <c r="AM25" i="1" s="1"/>
  <c r="AN26" i="1" l="1"/>
  <c r="AM26" i="1" s="1"/>
  <c r="AN27" i="1" l="1"/>
  <c r="AM27" i="1" s="1"/>
  <c r="AN28" i="1" l="1"/>
  <c r="AM28" i="1" s="1"/>
  <c r="AN29" i="1" l="1"/>
  <c r="AM29" i="1" s="1"/>
  <c r="AN30" i="1" l="1"/>
  <c r="AM30" i="1" s="1"/>
  <c r="AN31" i="1" l="1"/>
  <c r="AM31" i="1" s="1"/>
  <c r="AN32" i="1" l="1"/>
  <c r="AM32" i="1" s="1"/>
  <c r="AN33" i="1" l="1"/>
  <c r="AM33" i="1" s="1"/>
  <c r="AS34" i="1" l="1"/>
  <c r="AS3" i="1"/>
  <c r="AR3" i="1" l="1"/>
  <c r="AS4" i="1"/>
  <c r="AR4" i="1" s="1"/>
  <c r="AS5" i="1" l="1"/>
  <c r="AR5" i="1" s="1"/>
  <c r="AS6" i="1" l="1"/>
  <c r="AR6" i="1" s="1"/>
  <c r="AS7" i="1" l="1"/>
  <c r="AR7" i="1" s="1"/>
  <c r="AS8" i="1" l="1"/>
  <c r="AR8" i="1" s="1"/>
  <c r="AS9" i="1" l="1"/>
  <c r="AR9" i="1" s="1"/>
  <c r="AS10" i="1" l="1"/>
  <c r="AR10" i="1" s="1"/>
  <c r="AS11" i="1" l="1"/>
  <c r="AR11" i="1" s="1"/>
  <c r="AS12" i="1" l="1"/>
  <c r="AR12" i="1" s="1"/>
  <c r="AS13" i="1" l="1"/>
  <c r="AR13" i="1" s="1"/>
  <c r="AS14" i="1" l="1"/>
  <c r="AR14" i="1" s="1"/>
  <c r="AS15" i="1" l="1"/>
  <c r="AR15" i="1" s="1"/>
  <c r="AS16" i="1" l="1"/>
  <c r="AR16" i="1" s="1"/>
  <c r="AS17" i="1" l="1"/>
  <c r="AR17" i="1" s="1"/>
  <c r="AS18" i="1" l="1"/>
  <c r="AR18" i="1" s="1"/>
  <c r="AS19" i="1" l="1"/>
  <c r="AR19" i="1" s="1"/>
  <c r="AS20" i="1" l="1"/>
  <c r="AR20" i="1" s="1"/>
  <c r="AS21" i="1" l="1"/>
  <c r="AR21" i="1" s="1"/>
  <c r="AS22" i="1" l="1"/>
  <c r="AR22" i="1" s="1"/>
  <c r="AS23" i="1" l="1"/>
  <c r="AR23" i="1" s="1"/>
  <c r="AS24" i="1" l="1"/>
  <c r="AR24" i="1" s="1"/>
  <c r="AS25" i="1" l="1"/>
  <c r="AR25" i="1" s="1"/>
  <c r="AS26" i="1" l="1"/>
  <c r="AR26" i="1" s="1"/>
  <c r="AS27" i="1" l="1"/>
  <c r="AR27" i="1" s="1"/>
  <c r="AS28" i="1" l="1"/>
  <c r="AR28" i="1" s="1"/>
  <c r="AS29" i="1" l="1"/>
  <c r="AR29" i="1" s="1"/>
  <c r="AS30" i="1" l="1"/>
  <c r="AR30" i="1" s="1"/>
  <c r="AS31" i="1" l="1"/>
  <c r="AR31" i="1" s="1"/>
  <c r="AS32" i="1" l="1"/>
  <c r="AR32" i="1" s="1"/>
  <c r="AS33" i="1" l="1"/>
  <c r="AR33" i="1" s="1"/>
  <c r="AX34" i="1" l="1"/>
  <c r="AX3" i="1"/>
  <c r="AW3" i="1" l="1"/>
  <c r="AX4" i="1"/>
  <c r="AW4" i="1" s="1"/>
  <c r="AX5" i="1" l="1"/>
  <c r="AW5" i="1" s="1"/>
  <c r="AX6" i="1" l="1"/>
  <c r="AW6" i="1" s="1"/>
  <c r="AX7" i="1" l="1"/>
  <c r="AW7" i="1" s="1"/>
  <c r="AX8" i="1" l="1"/>
  <c r="AW8" i="1" s="1"/>
  <c r="AX9" i="1" l="1"/>
  <c r="AW9" i="1" s="1"/>
  <c r="AX10" i="1" l="1"/>
  <c r="AW10" i="1" s="1"/>
  <c r="AX11" i="1" l="1"/>
  <c r="AW11" i="1" s="1"/>
  <c r="AX12" i="1" l="1"/>
  <c r="AW12" i="1" s="1"/>
  <c r="AX13" i="1" l="1"/>
  <c r="AW13" i="1" s="1"/>
  <c r="AX14" i="1" l="1"/>
  <c r="AW14" i="1" s="1"/>
  <c r="AX15" i="1" l="1"/>
  <c r="AW15" i="1" s="1"/>
  <c r="AX16" i="1" l="1"/>
  <c r="AW16" i="1" s="1"/>
  <c r="AX17" i="1" l="1"/>
  <c r="AW17" i="1" s="1"/>
  <c r="AX18" i="1" l="1"/>
  <c r="AW18" i="1" s="1"/>
  <c r="AX19" i="1" l="1"/>
  <c r="AW19" i="1" s="1"/>
  <c r="AX20" i="1" l="1"/>
  <c r="AW20" i="1" s="1"/>
  <c r="AX21" i="1" l="1"/>
  <c r="AW21" i="1" s="1"/>
  <c r="AX22" i="1" l="1"/>
  <c r="AW22" i="1" s="1"/>
  <c r="AX23" i="1" l="1"/>
  <c r="AW23" i="1" s="1"/>
  <c r="AX24" i="1" l="1"/>
  <c r="AW24" i="1" s="1"/>
  <c r="AX25" i="1" l="1"/>
  <c r="AW25" i="1" s="1"/>
  <c r="AX26" i="1" l="1"/>
  <c r="AW26" i="1" s="1"/>
  <c r="AX27" i="1" l="1"/>
  <c r="AW27" i="1" s="1"/>
  <c r="AX28" i="1" l="1"/>
  <c r="AW28" i="1" s="1"/>
  <c r="AX29" i="1" l="1"/>
  <c r="AW29" i="1" s="1"/>
  <c r="AX30" i="1" l="1"/>
  <c r="AW30" i="1" s="1"/>
  <c r="AX31" i="1" l="1"/>
  <c r="AW31" i="1" s="1"/>
  <c r="AX32" i="1" l="1"/>
  <c r="AW32" i="1" s="1"/>
  <c r="AX33" i="1" l="1"/>
  <c r="AW33" i="1" s="1"/>
  <c r="BC34" i="1" l="1"/>
  <c r="BC3" i="1"/>
  <c r="BB3" i="1" l="1"/>
  <c r="BC4" i="1"/>
  <c r="BB4" i="1" s="1"/>
  <c r="BC5" i="1" l="1"/>
  <c r="BB5" i="1" s="1"/>
  <c r="BC6" i="1" l="1"/>
  <c r="BB6" i="1" s="1"/>
  <c r="BC7" i="1" l="1"/>
  <c r="BB7" i="1" s="1"/>
  <c r="BC8" i="1" l="1"/>
  <c r="BB8" i="1" s="1"/>
  <c r="BC9" i="1" l="1"/>
  <c r="BB9" i="1" s="1"/>
  <c r="BC10" i="1" l="1"/>
  <c r="BB10" i="1" s="1"/>
  <c r="BC11" i="1" l="1"/>
  <c r="BB11" i="1" s="1"/>
  <c r="BC12" i="1" l="1"/>
  <c r="BB12" i="1" s="1"/>
  <c r="BC13" i="1" l="1"/>
  <c r="BB13" i="1" s="1"/>
  <c r="BC14" i="1" l="1"/>
  <c r="BB14" i="1" s="1"/>
  <c r="BC15" i="1" l="1"/>
  <c r="BB15" i="1" s="1"/>
  <c r="BC16" i="1" l="1"/>
  <c r="BB16" i="1" s="1"/>
  <c r="BC17" i="1" l="1"/>
  <c r="BB17" i="1" s="1"/>
  <c r="BC18" i="1" l="1"/>
  <c r="BB18" i="1" s="1"/>
  <c r="BC19" i="1" l="1"/>
  <c r="BB19" i="1" s="1"/>
  <c r="BC20" i="1" l="1"/>
  <c r="BB20" i="1" s="1"/>
  <c r="BC21" i="1" l="1"/>
  <c r="BB21" i="1" s="1"/>
  <c r="BC22" i="1" l="1"/>
  <c r="BB22" i="1" s="1"/>
  <c r="BC23" i="1" l="1"/>
  <c r="BB23" i="1" s="1"/>
  <c r="BC24" i="1" l="1"/>
  <c r="BB24" i="1" s="1"/>
  <c r="BC25" i="1" l="1"/>
  <c r="BB25" i="1" s="1"/>
  <c r="BC26" i="1" l="1"/>
  <c r="BB26" i="1" s="1"/>
  <c r="BC27" i="1" l="1"/>
  <c r="BB27" i="1" s="1"/>
  <c r="BC28" i="1" l="1"/>
  <c r="BB28" i="1" s="1"/>
  <c r="BC29" i="1" l="1"/>
  <c r="BB29" i="1" s="1"/>
  <c r="BC30" i="1" l="1"/>
  <c r="BB30" i="1" s="1"/>
  <c r="BC31" i="1" l="1"/>
  <c r="BB31" i="1" s="1"/>
  <c r="BC32" i="1" l="1"/>
  <c r="BB32" i="1" s="1"/>
  <c r="BC33" i="1" l="1"/>
  <c r="BB33" i="1" s="1"/>
  <c r="BH34" i="1" l="1"/>
  <c r="BH3" i="1"/>
  <c r="BG3" i="1" l="1"/>
  <c r="BH4" i="1"/>
  <c r="BG4" i="1" s="1"/>
  <c r="BH5" i="1" l="1"/>
  <c r="BG5" i="1" s="1"/>
  <c r="BH6" i="1" l="1"/>
  <c r="BG6" i="1" s="1"/>
  <c r="BH7" i="1" l="1"/>
  <c r="BG7" i="1" s="1"/>
  <c r="BH8" i="1" l="1"/>
  <c r="BG8" i="1" s="1"/>
  <c r="BH9" i="1" l="1"/>
  <c r="BG9" i="1" s="1"/>
  <c r="BH10" i="1" l="1"/>
  <c r="BG10" i="1" s="1"/>
  <c r="BH11" i="1" l="1"/>
  <c r="BG11" i="1" s="1"/>
  <c r="BH12" i="1" l="1"/>
  <c r="BG12" i="1" s="1"/>
  <c r="BH13" i="1" l="1"/>
  <c r="BG13" i="1" s="1"/>
  <c r="BH14" i="1" l="1"/>
  <c r="BG14" i="1" s="1"/>
  <c r="BH15" i="1" l="1"/>
  <c r="BG15" i="1" s="1"/>
  <c r="BH16" i="1" l="1"/>
  <c r="BG16" i="1" s="1"/>
  <c r="BH17" i="1" l="1"/>
  <c r="BG17" i="1" s="1"/>
  <c r="BH18" i="1" l="1"/>
  <c r="BG18" i="1" s="1"/>
  <c r="BH19" i="1" l="1"/>
  <c r="BG19" i="1" s="1"/>
  <c r="BH20" i="1" l="1"/>
  <c r="BG20" i="1" s="1"/>
  <c r="BH21" i="1" l="1"/>
  <c r="BG21" i="1" s="1"/>
  <c r="BH22" i="1" l="1"/>
  <c r="BG22" i="1" s="1"/>
  <c r="BH23" i="1" l="1"/>
  <c r="BG23" i="1" s="1"/>
  <c r="BH24" i="1" l="1"/>
  <c r="BG24" i="1" s="1"/>
  <c r="BH25" i="1" l="1"/>
  <c r="BG25" i="1" s="1"/>
  <c r="BH26" i="1" l="1"/>
  <c r="BG26" i="1" s="1"/>
  <c r="BH27" i="1" l="1"/>
  <c r="BG27" i="1" s="1"/>
  <c r="BH28" i="1" l="1"/>
  <c r="BG28" i="1" s="1"/>
  <c r="BH29" i="1" l="1"/>
  <c r="BG29" i="1" s="1"/>
  <c r="BH30" i="1" l="1"/>
  <c r="BG30" i="1" s="1"/>
  <c r="BH31" i="1" l="1"/>
  <c r="BG31" i="1" s="1"/>
  <c r="BH32" i="1" l="1"/>
  <c r="BG32" i="1" s="1"/>
  <c r="BH33" i="1" l="1"/>
  <c r="BG33" i="1" s="1"/>
</calcChain>
</file>

<file path=xl/sharedStrings.xml><?xml version="1.0" encoding="utf-8"?>
<sst xmlns="http://schemas.openxmlformats.org/spreadsheetml/2006/main" count="98" uniqueCount="21">
  <si>
    <t>Total: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</si>
  <si>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</si>
  <si>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</si>
  <si>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</si>
  <si>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</si>
  <si>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</si>
  <si>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</si>
  <si>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</si>
  <si>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</si>
  <si>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</si>
  <si>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</si>
  <si>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</si>
  <si>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</si>
  <si>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</si>
  <si>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Entrada</t>
  </si>
  <si>
    <t>Saida</t>
  </si>
  <si>
    <t>Diário</t>
  </si>
  <si>
    <t>Saldo</t>
  </si>
  <si>
    <t>Margem de Segurança</t>
  </si>
  <si>
    <t>Tendencia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</si>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</sst>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center"/>
    </xf>
  </cellXfs>
  <cellStyles count="2">
    <cellStyle name="Moeda" xfId="1" builtinId="4"/>
    <cellStyle name="Normal" xfId="0" builtinId="0"/>
  </cellStyles>
  <dxfs count="60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A2828"/>
      <color rgb="FFFF5D5D"/>
      <color rgb="FFFFC7CE"/>
      <color rgb="FF9C0006"/>
      <color rgb="FFFF7C80"/>
      <color rgb="FFFF5050"/>
      <color rgb="FFFF0066"/>
      <color rgb="FFC6EFCE"/>
      <color rgb="FFFF6666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76DF-CEDF-4CCE-B83A-949117756EA9}">
  <dimension ref="A1:BJ37"/>
  <sheetViews>
    <sheetView tabSelected="1" zoomScale="72" workbookViewId="0">
      <selection activeCell="BJ11" sqref="BJ11"/>
    </sheetView>
  </sheetViews>
  <sheetFormatPr defaultRowHeight="15" x14ac:dyDescent="0.25"/>
  <cols>
    <col min="1" max="1" width="10.28515625" bestFit="1" customWidth="1"/>
    <col min="2" max="3" width="9.42578125" bestFit="1" customWidth="1"/>
    <col min="4" max="4" width="20.7109375" bestFit="1" customWidth="1"/>
    <col min="5" max="5" width="10.42578125" bestFit="1" customWidth="1"/>
    <col min="6" max="6" width="6.140625" bestFit="1" customWidth="1"/>
    <col min="7" max="8" width="9.42578125" bestFit="1" customWidth="1"/>
    <col min="9" max="9" width="20.7109375" bestFit="1" customWidth="1"/>
    <col min="10" max="10" width="10.5703125" bestFit="1" customWidth="1"/>
    <col min="11" max="11" width="7.85546875" bestFit="1" customWidth="1"/>
    <col min="12" max="12" width="9.42578125" bestFit="1" customWidth="1"/>
    <col min="13" max="13" width="8.28515625" bestFit="1" customWidth="1"/>
    <col min="14" max="14" width="20.7109375" bestFit="1" customWidth="1"/>
    <col min="15" max="15" width="10.5703125" bestFit="1" customWidth="1"/>
    <col min="16" max="16" width="6.140625" bestFit="1" customWidth="1"/>
    <col min="17" max="17" width="9.42578125" bestFit="1" customWidth="1"/>
    <col min="18" max="18" width="8.28515625" bestFit="1" customWidth="1"/>
    <col min="19" max="19" width="20.7109375" bestFit="1" customWidth="1"/>
    <col min="20" max="20" width="10.5703125" bestFit="1" customWidth="1"/>
    <col min="21" max="21" width="6.140625" bestFit="1" customWidth="1"/>
    <col min="22" max="22" width="9.42578125" bestFit="1" customWidth="1"/>
    <col min="23" max="23" width="7.28515625" bestFit="1" customWidth="1"/>
    <col min="24" max="24" width="20.7109375" bestFit="1" customWidth="1"/>
    <col min="25" max="25" width="10.42578125" bestFit="1" customWidth="1"/>
    <col min="26" max="26" width="6.140625" bestFit="1" customWidth="1"/>
    <col min="27" max="27" width="9.42578125" bestFit="1" customWidth="1"/>
    <col min="28" max="28" width="7.28515625" bestFit="1" customWidth="1"/>
    <col min="29" max="29" width="20.7109375" bestFit="1" customWidth="1"/>
    <col min="30" max="30" width="10.42578125" bestFit="1" customWidth="1"/>
    <col min="31" max="31" width="6.140625" bestFit="1" customWidth="1"/>
    <col min="32" max="32" width="9.42578125" bestFit="1" customWidth="1"/>
    <col min="33" max="33" width="7.28515625" bestFit="1" customWidth="1"/>
    <col min="34" max="34" width="20.7109375" bestFit="1" customWidth="1"/>
    <col min="35" max="35" width="10.42578125" bestFit="1" customWidth="1"/>
    <col min="36" max="36" width="6.140625" bestFit="1" customWidth="1"/>
    <col min="37" max="37" width="9.42578125" bestFit="1" customWidth="1"/>
    <col min="38" max="38" width="7.28515625" bestFit="1" customWidth="1"/>
    <col min="39" max="39" width="20.7109375" bestFit="1" customWidth="1"/>
    <col min="40" max="40" width="10.42578125" bestFit="1" customWidth="1"/>
    <col min="41" max="41" width="6.140625" bestFit="1" customWidth="1"/>
    <col min="42" max="42" width="9.42578125" bestFit="1" customWidth="1"/>
    <col min="43" max="43" width="7.28515625" bestFit="1" customWidth="1"/>
    <col min="44" max="44" width="20.7109375" bestFit="1" customWidth="1"/>
    <col min="45" max="45" width="10.42578125" bestFit="1" customWidth="1"/>
    <col min="46" max="46" width="6.140625" bestFit="1" customWidth="1"/>
    <col min="47" max="47" width="9.42578125" bestFit="1" customWidth="1"/>
    <col min="48" max="48" width="7.28515625" bestFit="1" customWidth="1"/>
    <col min="49" max="49" width="20.7109375" bestFit="1" customWidth="1"/>
    <col min="50" max="50" width="10.42578125" bestFit="1" customWidth="1"/>
    <col min="51" max="51" width="6.140625" bestFit="1" customWidth="1"/>
    <col min="52" max="52" width="9.42578125" bestFit="1" customWidth="1"/>
    <col min="53" max="53" width="7.28515625" bestFit="1" customWidth="1"/>
    <col min="54" max="54" width="20.7109375" bestFit="1" customWidth="1"/>
    <col min="55" max="55" width="10.42578125" bestFit="1" customWidth="1"/>
    <col min="56" max="56" width="6.140625" bestFit="1" customWidth="1"/>
    <col min="57" max="57" width="9.42578125" bestFit="1" customWidth="1"/>
    <col min="58" max="58" width="7.28515625" bestFit="1" customWidth="1"/>
    <col min="59" max="59" width="20.7109375" bestFit="1" customWidth="1"/>
    <col min="60" max="60" width="10.42578125" bestFit="1" customWidth="1"/>
    <col min="61" max="62" width="12.42578125" bestFit="1" customWidth="1"/>
  </cols>
  <sheetData>
    <row r="1" spans="1:62" x14ac:dyDescent="0.25">
      <c r="A1" s="7" t="s">
        <v>1</v>
      </c>
      <c r="B1" s="7"/>
      <c r="C1" s="7"/>
      <c r="D1" s="7"/>
      <c r="E1" s="7"/>
      <c r="F1" s="7" t="s">
        <v>2</v>
      </c>
      <c r="G1" s="7"/>
      <c r="H1" s="7"/>
      <c r="I1" s="7"/>
      <c r="J1" s="7"/>
      <c r="K1" s="7" t="s">
        <v>3</v>
      </c>
      <c r="L1" s="7"/>
      <c r="M1" s="7"/>
      <c r="N1" s="7"/>
      <c r="O1" s="7"/>
      <c r="P1" s="7" t="s">
        <v>4</v>
      </c>
      <c r="Q1" s="7"/>
      <c r="R1" s="7"/>
      <c r="S1" s="7"/>
      <c r="T1" s="7"/>
      <c r="U1" s="7" t="s">
        <v>5</v>
      </c>
      <c r="V1" s="7"/>
      <c r="W1" s="7"/>
      <c r="X1" s="7"/>
      <c r="Y1" s="7"/>
      <c r="Z1" s="7" t="s">
        <v>6</v>
      </c>
      <c r="AA1" s="7"/>
      <c r="AB1" s="7"/>
      <c r="AC1" s="7"/>
      <c r="AD1" s="7"/>
      <c r="AE1" s="7" t="s">
        <v>7</v>
      </c>
      <c r="AF1" s="7"/>
      <c r="AG1" s="7"/>
      <c r="AH1" s="7"/>
      <c r="AI1" s="7"/>
      <c r="AJ1" s="7" t="s">
        <v>8</v>
      </c>
      <c r="AK1" s="7"/>
      <c r="AL1" s="7"/>
      <c r="AM1" s="7"/>
      <c r="AN1" s="7"/>
      <c r="AO1" s="7" t="s">
        <v>9</v>
      </c>
      <c r="AP1" s="7"/>
      <c r="AQ1" s="7"/>
      <c r="AR1" s="7"/>
      <c r="AS1" s="7"/>
      <c r="AT1" s="7" t="s">
        <v>10</v>
      </c>
      <c r="AU1" s="7"/>
      <c r="AV1" s="7"/>
      <c r="AW1" s="7"/>
      <c r="AX1" s="7"/>
      <c r="AY1" s="7" t="s">
        <v>11</v>
      </c>
      <c r="AZ1" s="7"/>
      <c r="BA1" s="7"/>
      <c r="BB1" s="7"/>
      <c r="BC1" s="7"/>
      <c r="BD1" s="7" t="s">
        <v>12</v>
      </c>
      <c r="BE1" s="7"/>
      <c r="BF1" s="7"/>
      <c r="BG1" s="7"/>
      <c r="BH1" s="7"/>
      <c r="BI1" s="7" t="s">
        <v>20</v>
      </c>
      <c r="BJ1" s="7"/>
    </row>
    <row r="2" spans="1:62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13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19</v>
      </c>
      <c r="BJ2" s="6">
        <f>(AVERAGEIF(BI3:BI14,"&gt;0") + _xlfn.STDEV.P(BI3:BI14))*12</f>
        <v>12</v>
      </c>
    </row>
    <row r="3" spans="1:62" x14ac:dyDescent="0.25">
      <c r="A3" s="1">
        <v>1</v>
      </c>
      <c r="B3" s="2">
        <v>1</v>
      </c>
      <c r="C3" s="2">
        <v>1</v>
      </c>
      <c r="D3" s="2">
        <f>IF(($B$34-$C$34)&lt;=$E$34,0,MAX(0,( ($B$34-$C$34)-$E$34 )/31))</f>
        <v>0</v>
      </c>
      <c r="E3" s="2">
        <f>B3 - C3</f>
        <v>0</v>
      </c>
      <c r="F3" s="1">
        <v>1</v>
      </c>
      <c r="G3" s="2">
        <v>1</v>
      </c>
      <c r="H3" s="2">
        <v>1</v>
      </c>
      <c r="I3" s="2">
        <f>IF(J3&lt;=0,0,IF(J3&lt;=$J$34,0,MAX(0,(J3-$J$34)/31)))</f>
        <v>0</v>
      </c>
      <c r="J3" s="2">
        <f>G3+E33 - H3</f>
        <v>0</v>
      </c>
      <c r="K3" s="1">
        <v>1</v>
      </c>
      <c r="L3" s="2">
        <v>1</v>
      </c>
      <c r="M3" s="2">
        <v>1</v>
      </c>
      <c r="N3" s="2">
        <f>IF(O3&lt;=0,0,IF(O3&lt;=$O$34,0,MAX(0,(O3-$O$34)/31)))</f>
        <v>0</v>
      </c>
      <c r="O3" s="2">
        <f>L3+J33-M3</f>
        <v>0</v>
      </c>
      <c r="P3" s="1">
        <v>1</v>
      </c>
      <c r="Q3" s="2">
        <v>1</v>
      </c>
      <c r="R3" s="2">
        <v>1</v>
      </c>
      <c r="S3" s="2">
        <f>IF(T3&lt;=0,0,IF(T3&lt;=$T$34,0,MAX(0,(T3-$T$34)/31)))</f>
        <v>0</v>
      </c>
      <c r="T3" s="2">
        <f>Q3+O33-R3</f>
        <v>0</v>
      </c>
      <c r="U3" s="1">
        <v>1</v>
      </c>
      <c r="V3" s="2">
        <v>1</v>
      </c>
      <c r="W3" s="2">
        <v>1</v>
      </c>
      <c r="X3" s="2">
        <f>IF(Y3&lt;=0,0,IF(Y3&lt;=$Y$34,0,MAX(0,(Y3-$Y$34)/31)))</f>
        <v>0</v>
      </c>
      <c r="Y3" s="2">
        <f>V3+T33-W3</f>
        <v>0</v>
      </c>
      <c r="Z3" s="1">
        <v>1</v>
      </c>
      <c r="AA3" s="2">
        <v>1</v>
      </c>
      <c r="AB3" s="2">
        <v>1</v>
      </c>
      <c r="AC3" s="2">
        <f>IF(AD3&lt;=0,0,IF(AD3&lt;=$AD$34,0,MAX(0,(AD3-$AD$34)/31)))</f>
        <v>0</v>
      </c>
      <c r="AD3" s="2">
        <f>AA3+Y33-AB3</f>
        <v>0</v>
      </c>
      <c r="AE3" s="1">
        <v>1</v>
      </c>
      <c r="AF3" s="2">
        <v>1</v>
      </c>
      <c r="AG3" s="2">
        <v>1</v>
      </c>
      <c r="AH3" s="2">
        <f>IF(AI3&lt;=0,0,IF(AI3&lt;=$AI$34,0,MAX(0,(AI3-$AI$34)/31)))</f>
        <v>0</v>
      </c>
      <c r="AI3" s="2">
        <f>AF3+AD33-AG3</f>
        <v>0</v>
      </c>
      <c r="AJ3" s="1">
        <v>1</v>
      </c>
      <c r="AK3" s="2">
        <v>1</v>
      </c>
      <c r="AL3" s="2">
        <v>1</v>
      </c>
      <c r="AM3" s="2">
        <f>IF(AN3&lt;=0,0,IF(AN3&lt;=$AN$34,0,MAX(0,(AN3-$AN$34)/31)))</f>
        <v>0</v>
      </c>
      <c r="AN3" s="2">
        <f>AK3+AI33-AL3</f>
        <v>0</v>
      </c>
      <c r="AO3" s="1">
        <v>1</v>
      </c>
      <c r="AP3" s="2">
        <v>1</v>
      </c>
      <c r="AQ3" s="2">
        <v>1</v>
      </c>
      <c r="AR3" s="2">
        <f>IF(AS3&lt;=0,0,IF(AS3&lt;=$AS$34,0,MAX(0,(AS3-$AS$34)/31)))</f>
        <v>0</v>
      </c>
      <c r="AS3" s="2">
        <f>AP3+AN33-AQ3</f>
        <v>0</v>
      </c>
      <c r="AT3" s="1">
        <v>1</v>
      </c>
      <c r="AU3" s="2">
        <v>1</v>
      </c>
      <c r="AV3" s="2">
        <v>1</v>
      </c>
      <c r="AW3" s="2">
        <f>IF(AX3&lt;=0,0,IF(AX3&lt;=$AX$34,0,MAX(0,(AX3-$AX$34)/31)))</f>
        <v>0</v>
      </c>
      <c r="AX3" s="2">
        <f>AU3+AS33-AV3</f>
        <v>0</v>
      </c>
      <c r="AY3" s="1">
        <v>1</v>
      </c>
      <c r="AZ3" s="2">
        <v>1</v>
      </c>
      <c r="BA3" s="2">
        <v>1</v>
      </c>
      <c r="BB3" s="2">
        <f>IF(BC3&lt;=0,0,IF(BC3&lt;=$BC$34,0,MAX(0,(BC3-$BC$34)/31)))</f>
        <v>0</v>
      </c>
      <c r="BC3" s="2">
        <f>AZ3+AX33-BA3</f>
        <v>0</v>
      </c>
      <c r="BD3" s="1">
        <v>1</v>
      </c>
      <c r="BE3" s="2">
        <v>1</v>
      </c>
      <c r="BF3" s="2">
        <v>1</v>
      </c>
      <c r="BG3" s="2">
        <f>IF(BH3&lt;=0,0,IF(BH3&lt;=$BH$34,0,MAX(0,(BH3-$BH$34)/31)))</f>
        <v>0</v>
      </c>
      <c r="BH3" s="2">
        <f>BE3+BC33-BF3</f>
        <v>0</v>
      </c>
      <c r="BI3" s="5">
        <f>C34</f>
        <v>1</v>
      </c>
    </row>
    <row r="4" spans="1:62" x14ac:dyDescent="0.25">
      <c r="A4" s="1">
        <v>2</v>
      </c>
      <c r="B4" s="2"/>
      <c r="C4" s="2"/>
      <c r="D4" s="2">
        <f t="shared" ref="D4:D33" si="0">IF(($B$34-$C$34)&lt;=$E$34,0,MAX(0,( ($B$34-$C$34)-$E$34 )/31))</f>
        <v>0</v>
      </c>
      <c r="E4" s="2">
        <f t="shared" ref="E4:E33" si="1">(E3 + B4) - C4</f>
        <v>0</v>
      </c>
      <c r="F4" s="1">
        <v>2</v>
      </c>
      <c r="G4" s="2"/>
      <c r="H4" s="2"/>
      <c r="I4" s="2">
        <f t="shared" ref="I4:I33" si="2">IF(J4&lt;=0,0,IF(J4&lt;=$J$34,0,MAX(0,(J4-$J$34)/31)))</f>
        <v>0</v>
      </c>
      <c r="J4" s="2">
        <f>(J3 + G4) - H4</f>
        <v>0</v>
      </c>
      <c r="K4" s="1">
        <v>2</v>
      </c>
      <c r="L4" s="2"/>
      <c r="M4" s="2"/>
      <c r="N4" s="2">
        <f t="shared" ref="N4:N33" si="3">IF(O4&lt;=0,0,IF(O4&lt;=$O$34,0,MAX(0,(O4-$O$34)/31)))</f>
        <v>0</v>
      </c>
      <c r="O4" s="2">
        <f>(O3 + L4) - M4</f>
        <v>0</v>
      </c>
      <c r="P4" s="1">
        <v>2</v>
      </c>
      <c r="Q4" s="2"/>
      <c r="R4" s="2"/>
      <c r="S4" s="2">
        <f t="shared" ref="S4:S33" si="4">IF(T4&lt;=0,0,IF(T4&lt;=$T$34,0,MAX(0,(T4-$T$34)/31)))</f>
        <v>0</v>
      </c>
      <c r="T4" s="2">
        <f>(T3 + Q4) - R4</f>
        <v>0</v>
      </c>
      <c r="U4" s="1">
        <v>2</v>
      </c>
      <c r="V4" s="2"/>
      <c r="W4" s="2"/>
      <c r="X4" s="2">
        <f t="shared" ref="X4:X33" si="5">IF(Y4&lt;=0,0,IF(Y4&lt;=$Y$34,0,MAX(0,(Y4-$Y$34)/31)))</f>
        <v>0</v>
      </c>
      <c r="Y4" s="2">
        <f>(Y3 + V4) - W4</f>
        <v>0</v>
      </c>
      <c r="Z4" s="1">
        <v>2</v>
      </c>
      <c r="AA4" s="2"/>
      <c r="AB4" s="2"/>
      <c r="AC4" s="2">
        <f t="shared" ref="AC4:AC33" si="6">IF(AD4&lt;=0,0,IF(AD4&lt;=$AD$34,0,MAX(0,(AD4-$AD$34)/31)))</f>
        <v>0</v>
      </c>
      <c r="AD4" s="2">
        <f>(AD3 + AA4) - AB4</f>
        <v>0</v>
      </c>
      <c r="AE4" s="1">
        <v>2</v>
      </c>
      <c r="AF4" s="2"/>
      <c r="AG4" s="2"/>
      <c r="AH4" s="2">
        <f t="shared" ref="AH4:AH33" si="7">IF(AI4&lt;=0,0,IF(AI4&lt;=$AI$34,0,MAX(0,(AI4-$AI$34)/31)))</f>
        <v>0</v>
      </c>
      <c r="AI4" s="2">
        <f>(AI3 + AF4) - AG4</f>
        <v>0</v>
      </c>
      <c r="AJ4" s="1">
        <v>2</v>
      </c>
      <c r="AK4" s="2"/>
      <c r="AL4" s="2"/>
      <c r="AM4" s="2">
        <f t="shared" ref="AM4:AM33" si="8">IF(AN4&lt;=0,0,IF(AN4&lt;=$AN$34,0,MAX(0,(AN4-$AN$34)/31)))</f>
        <v>0</v>
      </c>
      <c r="AN4" s="2">
        <f>(AN3 + AK4) - AL4</f>
        <v>0</v>
      </c>
      <c r="AO4" s="1">
        <v>2</v>
      </c>
      <c r="AP4" s="2"/>
      <c r="AQ4" s="2"/>
      <c r="AR4" s="2">
        <f t="shared" ref="AR4:AR33" si="9">IF(AS4&lt;=0,0,IF(AS4&lt;=$AS$34,0,MAX(0,(AS4-$AS$34)/31)))</f>
        <v>0</v>
      </c>
      <c r="AS4" s="2">
        <f>(AS3 + AP4) - AQ4</f>
        <v>0</v>
      </c>
      <c r="AT4" s="1">
        <v>2</v>
      </c>
      <c r="AU4" s="2"/>
      <c r="AV4" s="2"/>
      <c r="AW4" s="2">
        <f t="shared" ref="AW4:AW33" si="10">IF(AX4&lt;=0,0,IF(AX4&lt;=$AX$34,0,MAX(0,(AX4-$AX$34)/31)))</f>
        <v>0</v>
      </c>
      <c r="AX4" s="2">
        <f>(AX3 + AU4) - AV4</f>
        <v>0</v>
      </c>
      <c r="AY4" s="1">
        <v>2</v>
      </c>
      <c r="AZ4" s="2"/>
      <c r="BA4" s="2"/>
      <c r="BB4" s="2">
        <f t="shared" ref="BB4:BB33" si="11">IF(BC4&lt;=0,0,IF(BC4&lt;=$BC$34,0,MAX(0,(BC4-$BC$34)/31)))</f>
        <v>0</v>
      </c>
      <c r="BC4" s="2">
        <f>(BC3 + AZ4) - BA4</f>
        <v>0</v>
      </c>
      <c r="BD4" s="1">
        <v>2</v>
      </c>
      <c r="BE4" s="2"/>
      <c r="BF4" s="2"/>
      <c r="BG4" s="2">
        <f t="shared" ref="BG4:BG33" si="12">IF(BH4&lt;=0,0,IF(BH4&lt;=$BH$34,0,MAX(0,(BH4-$BH$34)/31)))</f>
        <v>0</v>
      </c>
      <c r="BH4" s="2">
        <f>(BH3 + BE4) - BF4</f>
        <v>0</v>
      </c>
      <c r="BI4" s="5">
        <f>H34</f>
        <v>1</v>
      </c>
    </row>
    <row r="5" spans="1:62" x14ac:dyDescent="0.25">
      <c r="A5" s="1">
        <v>3</v>
      </c>
      <c r="B5" s="2"/>
      <c r="C5" s="2"/>
      <c r="D5" s="2">
        <f t="shared" si="0"/>
        <v>0</v>
      </c>
      <c r="E5" s="2">
        <f t="shared" si="1"/>
        <v>0</v>
      </c>
      <c r="F5" s="1">
        <v>3</v>
      </c>
      <c r="G5" s="2"/>
      <c r="H5" s="2"/>
      <c r="I5" s="2">
        <f t="shared" si="2"/>
        <v>0</v>
      </c>
      <c r="J5" s="2">
        <f t="shared" ref="J5:J33" si="13">(J4 + G5) - H5</f>
        <v>0</v>
      </c>
      <c r="K5" s="1">
        <v>3</v>
      </c>
      <c r="L5" s="2"/>
      <c r="M5" s="2"/>
      <c r="N5" s="2">
        <f t="shared" si="3"/>
        <v>0</v>
      </c>
      <c r="O5" s="2">
        <f t="shared" ref="O5:O33" si="14">(O4 + L5) - M5</f>
        <v>0</v>
      </c>
      <c r="P5" s="1">
        <v>3</v>
      </c>
      <c r="Q5" s="2"/>
      <c r="R5" s="2"/>
      <c r="S5" s="2">
        <f t="shared" si="4"/>
        <v>0</v>
      </c>
      <c r="T5" s="2">
        <f t="shared" ref="T5:T33" si="15">(T4 + Q5) - R5</f>
        <v>0</v>
      </c>
      <c r="U5" s="1">
        <v>3</v>
      </c>
      <c r="V5" s="2"/>
      <c r="W5" s="2"/>
      <c r="X5" s="2">
        <f t="shared" si="5"/>
        <v>0</v>
      </c>
      <c r="Y5" s="2">
        <f t="shared" ref="Y5:Y33" si="16">(Y4 + V5) - W5</f>
        <v>0</v>
      </c>
      <c r="Z5" s="1">
        <v>3</v>
      </c>
      <c r="AA5" s="2"/>
      <c r="AB5" s="2"/>
      <c r="AC5" s="2">
        <f t="shared" si="6"/>
        <v>0</v>
      </c>
      <c r="AD5" s="2">
        <f t="shared" ref="AD5:AD33" si="17">(AD4 + AA5) - AB5</f>
        <v>0</v>
      </c>
      <c r="AE5" s="1">
        <v>3</v>
      </c>
      <c r="AF5" s="2"/>
      <c r="AG5" s="2"/>
      <c r="AH5" s="2">
        <f t="shared" si="7"/>
        <v>0</v>
      </c>
      <c r="AI5" s="2">
        <f t="shared" ref="AI5:AI33" si="18">(AI4 + AF5) - AG5</f>
        <v>0</v>
      </c>
      <c r="AJ5" s="1">
        <v>3</v>
      </c>
      <c r="AK5" s="2"/>
      <c r="AL5" s="2"/>
      <c r="AM5" s="2">
        <f t="shared" si="8"/>
        <v>0</v>
      </c>
      <c r="AN5" s="2">
        <f t="shared" ref="AN5:AN33" si="19">(AN4 + AK5) - AL5</f>
        <v>0</v>
      </c>
      <c r="AO5" s="1">
        <v>3</v>
      </c>
      <c r="AP5" s="2"/>
      <c r="AQ5" s="2"/>
      <c r="AR5" s="2">
        <f t="shared" si="9"/>
        <v>0</v>
      </c>
      <c r="AS5" s="2">
        <f t="shared" ref="AS5:AS33" si="20">(AS4 + AP5) - AQ5</f>
        <v>0</v>
      </c>
      <c r="AT5" s="1">
        <v>3</v>
      </c>
      <c r="AU5" s="2"/>
      <c r="AV5" s="2"/>
      <c r="AW5" s="2">
        <f t="shared" si="10"/>
        <v>0</v>
      </c>
      <c r="AX5" s="2">
        <f t="shared" ref="AX5:AX33" si="21">(AX4 + AU5) - AV5</f>
        <v>0</v>
      </c>
      <c r="AY5" s="1">
        <v>3</v>
      </c>
      <c r="AZ5" s="2"/>
      <c r="BA5" s="2"/>
      <c r="BB5" s="2">
        <f t="shared" si="11"/>
        <v>0</v>
      </c>
      <c r="BC5" s="2">
        <f t="shared" ref="BC5:BC33" si="22">(BC4 + AZ5) - BA5</f>
        <v>0</v>
      </c>
      <c r="BD5" s="1">
        <v>3</v>
      </c>
      <c r="BE5" s="2"/>
      <c r="BF5" s="2"/>
      <c r="BG5" s="2">
        <f t="shared" si="12"/>
        <v>0</v>
      </c>
      <c r="BH5" s="2">
        <f t="shared" ref="BH5:BH33" si="23">(BH4 + BE5) - BF5</f>
        <v>0</v>
      </c>
      <c r="BI5" s="5">
        <f>M34</f>
        <v>1</v>
      </c>
    </row>
    <row r="6" spans="1:62" x14ac:dyDescent="0.25">
      <c r="A6" s="1">
        <v>4</v>
      </c>
      <c r="B6" s="2"/>
      <c r="C6" s="2"/>
      <c r="D6" s="2">
        <f t="shared" si="0"/>
        <v>0</v>
      </c>
      <c r="E6" s="2">
        <f t="shared" si="1"/>
        <v>0</v>
      </c>
      <c r="F6" s="1">
        <v>4</v>
      </c>
      <c r="G6" s="2"/>
      <c r="H6" s="2"/>
      <c r="I6" s="2">
        <f t="shared" si="2"/>
        <v>0</v>
      </c>
      <c r="J6" s="2">
        <f t="shared" si="13"/>
        <v>0</v>
      </c>
      <c r="K6" s="1">
        <v>4</v>
      </c>
      <c r="L6" s="2"/>
      <c r="M6" s="2"/>
      <c r="N6" s="2">
        <f t="shared" si="3"/>
        <v>0</v>
      </c>
      <c r="O6" s="2">
        <f t="shared" si="14"/>
        <v>0</v>
      </c>
      <c r="P6" s="1">
        <v>4</v>
      </c>
      <c r="Q6" s="2"/>
      <c r="R6" s="2"/>
      <c r="S6" s="2">
        <f t="shared" si="4"/>
        <v>0</v>
      </c>
      <c r="T6" s="2">
        <f t="shared" si="15"/>
        <v>0</v>
      </c>
      <c r="U6" s="1">
        <v>4</v>
      </c>
      <c r="V6" s="2"/>
      <c r="W6" s="2"/>
      <c r="X6" s="2">
        <f t="shared" si="5"/>
        <v>0</v>
      </c>
      <c r="Y6" s="2">
        <f t="shared" si="16"/>
        <v>0</v>
      </c>
      <c r="Z6" s="1">
        <v>4</v>
      </c>
      <c r="AA6" s="2"/>
      <c r="AB6" s="2"/>
      <c r="AC6" s="2">
        <f t="shared" si="6"/>
        <v>0</v>
      </c>
      <c r="AD6" s="2">
        <f t="shared" si="17"/>
        <v>0</v>
      </c>
      <c r="AE6" s="1">
        <v>4</v>
      </c>
      <c r="AF6" s="2"/>
      <c r="AG6" s="2"/>
      <c r="AH6" s="2">
        <f t="shared" si="7"/>
        <v>0</v>
      </c>
      <c r="AI6" s="2">
        <f t="shared" si="18"/>
        <v>0</v>
      </c>
      <c r="AJ6" s="1">
        <v>4</v>
      </c>
      <c r="AK6" s="2"/>
      <c r="AL6" s="2"/>
      <c r="AM6" s="2">
        <f t="shared" si="8"/>
        <v>0</v>
      </c>
      <c r="AN6" s="2">
        <f t="shared" si="19"/>
        <v>0</v>
      </c>
      <c r="AO6" s="1">
        <v>4</v>
      </c>
      <c r="AP6" s="2"/>
      <c r="AQ6" s="2"/>
      <c r="AR6" s="2">
        <f t="shared" si="9"/>
        <v>0</v>
      </c>
      <c r="AS6" s="2">
        <f t="shared" si="20"/>
        <v>0</v>
      </c>
      <c r="AT6" s="1">
        <v>4</v>
      </c>
      <c r="AU6" s="2"/>
      <c r="AV6" s="2"/>
      <c r="AW6" s="2">
        <f t="shared" si="10"/>
        <v>0</v>
      </c>
      <c r="AX6" s="2">
        <f t="shared" si="21"/>
        <v>0</v>
      </c>
      <c r="AY6" s="1">
        <v>4</v>
      </c>
      <c r="AZ6" s="2"/>
      <c r="BA6" s="2"/>
      <c r="BB6" s="2">
        <f t="shared" si="11"/>
        <v>0</v>
      </c>
      <c r="BC6" s="2">
        <f t="shared" si="22"/>
        <v>0</v>
      </c>
      <c r="BD6" s="1">
        <v>4</v>
      </c>
      <c r="BE6" s="2"/>
      <c r="BF6" s="2"/>
      <c r="BG6" s="2">
        <f t="shared" si="12"/>
        <v>0</v>
      </c>
      <c r="BH6" s="2">
        <f t="shared" si="23"/>
        <v>0</v>
      </c>
      <c r="BI6" s="5">
        <f>R34</f>
        <v>1</v>
      </c>
    </row>
    <row r="7" spans="1:62" x14ac:dyDescent="0.25">
      <c r="A7" s="1">
        <v>5</v>
      </c>
      <c r="B7" s="2"/>
      <c r="C7" s="2"/>
      <c r="D7" s="2">
        <f t="shared" si="0"/>
        <v>0</v>
      </c>
      <c r="E7" s="2">
        <f t="shared" si="1"/>
        <v>0</v>
      </c>
      <c r="F7" s="1">
        <v>5</v>
      </c>
      <c r="G7" s="2"/>
      <c r="H7" s="2"/>
      <c r="I7" s="2">
        <f t="shared" si="2"/>
        <v>0</v>
      </c>
      <c r="J7" s="2">
        <f t="shared" si="13"/>
        <v>0</v>
      </c>
      <c r="K7" s="1">
        <v>5</v>
      </c>
      <c r="L7" s="2"/>
      <c r="M7" s="2"/>
      <c r="N7" s="2">
        <f t="shared" si="3"/>
        <v>0</v>
      </c>
      <c r="O7" s="2">
        <f t="shared" si="14"/>
        <v>0</v>
      </c>
      <c r="P7" s="1">
        <v>5</v>
      </c>
      <c r="Q7" s="2"/>
      <c r="R7" s="2"/>
      <c r="S7" s="2">
        <f t="shared" si="4"/>
        <v>0</v>
      </c>
      <c r="T7" s="2">
        <f t="shared" si="15"/>
        <v>0</v>
      </c>
      <c r="U7" s="1">
        <v>5</v>
      </c>
      <c r="V7" s="2"/>
      <c r="W7" s="2"/>
      <c r="X7" s="2">
        <f t="shared" si="5"/>
        <v>0</v>
      </c>
      <c r="Y7" s="2">
        <f t="shared" si="16"/>
        <v>0</v>
      </c>
      <c r="Z7" s="1">
        <v>5</v>
      </c>
      <c r="AA7" s="2"/>
      <c r="AB7" s="2"/>
      <c r="AC7" s="2">
        <f t="shared" si="6"/>
        <v>0</v>
      </c>
      <c r="AD7" s="2">
        <f t="shared" si="17"/>
        <v>0</v>
      </c>
      <c r="AE7" s="1">
        <v>5</v>
      </c>
      <c r="AF7" s="2"/>
      <c r="AG7" s="2"/>
      <c r="AH7" s="2">
        <f t="shared" si="7"/>
        <v>0</v>
      </c>
      <c r="AI7" s="2">
        <f t="shared" si="18"/>
        <v>0</v>
      </c>
      <c r="AJ7" s="1">
        <v>5</v>
      </c>
      <c r="AK7" s="2"/>
      <c r="AL7" s="2"/>
      <c r="AM7" s="2">
        <f t="shared" si="8"/>
        <v>0</v>
      </c>
      <c r="AN7" s="2">
        <f t="shared" si="19"/>
        <v>0</v>
      </c>
      <c r="AO7" s="1">
        <v>5</v>
      </c>
      <c r="AP7" s="2"/>
      <c r="AQ7" s="2"/>
      <c r="AR7" s="2">
        <f t="shared" si="9"/>
        <v>0</v>
      </c>
      <c r="AS7" s="2">
        <f t="shared" si="20"/>
        <v>0</v>
      </c>
      <c r="AT7" s="1">
        <v>5</v>
      </c>
      <c r="AU7" s="2"/>
      <c r="AV7" s="2"/>
      <c r="AW7" s="2">
        <f t="shared" si="10"/>
        <v>0</v>
      </c>
      <c r="AX7" s="2">
        <f t="shared" si="21"/>
        <v>0</v>
      </c>
      <c r="AY7" s="1">
        <v>5</v>
      </c>
      <c r="AZ7" s="2"/>
      <c r="BA7" s="2"/>
      <c r="BB7" s="2">
        <f t="shared" si="11"/>
        <v>0</v>
      </c>
      <c r="BC7" s="2">
        <f t="shared" si="22"/>
        <v>0</v>
      </c>
      <c r="BD7" s="1">
        <v>5</v>
      </c>
      <c r="BE7" s="2"/>
      <c r="BF7" s="2"/>
      <c r="BG7" s="2">
        <f t="shared" si="12"/>
        <v>0</v>
      </c>
      <c r="BH7" s="2">
        <f t="shared" si="23"/>
        <v>0</v>
      </c>
      <c r="BI7" s="5">
        <f>W34</f>
        <v>1</v>
      </c>
    </row>
    <row r="8" spans="1:62" x14ac:dyDescent="0.25">
      <c r="A8" s="1">
        <v>6</v>
      </c>
      <c r="B8" s="2"/>
      <c r="C8" s="2"/>
      <c r="D8" s="2">
        <f t="shared" si="0"/>
        <v>0</v>
      </c>
      <c r="E8" s="2">
        <f t="shared" si="1"/>
        <v>0</v>
      </c>
      <c r="F8" s="1">
        <v>6</v>
      </c>
      <c r="G8" s="2"/>
      <c r="H8" s="2"/>
      <c r="I8" s="2">
        <f t="shared" si="2"/>
        <v>0</v>
      </c>
      <c r="J8" s="2">
        <f t="shared" si="13"/>
        <v>0</v>
      </c>
      <c r="K8" s="1">
        <v>6</v>
      </c>
      <c r="L8" s="2"/>
      <c r="M8" s="2"/>
      <c r="N8" s="2">
        <f t="shared" si="3"/>
        <v>0</v>
      </c>
      <c r="O8" s="2">
        <f t="shared" si="14"/>
        <v>0</v>
      </c>
      <c r="P8" s="1">
        <v>6</v>
      </c>
      <c r="Q8" s="2"/>
      <c r="R8" s="2"/>
      <c r="S8" s="2">
        <f t="shared" si="4"/>
        <v>0</v>
      </c>
      <c r="T8" s="2">
        <f t="shared" si="15"/>
        <v>0</v>
      </c>
      <c r="U8" s="1">
        <v>6</v>
      </c>
      <c r="V8" s="2"/>
      <c r="W8" s="2"/>
      <c r="X8" s="2">
        <f t="shared" si="5"/>
        <v>0</v>
      </c>
      <c r="Y8" s="2">
        <f t="shared" si="16"/>
        <v>0</v>
      </c>
      <c r="Z8" s="1">
        <v>6</v>
      </c>
      <c r="AA8" s="2"/>
      <c r="AB8" s="2"/>
      <c r="AC8" s="2">
        <f t="shared" si="6"/>
        <v>0</v>
      </c>
      <c r="AD8" s="2">
        <f t="shared" si="17"/>
        <v>0</v>
      </c>
      <c r="AE8" s="1">
        <v>6</v>
      </c>
      <c r="AF8" s="2"/>
      <c r="AG8" s="2"/>
      <c r="AH8" s="2">
        <f t="shared" si="7"/>
        <v>0</v>
      </c>
      <c r="AI8" s="2">
        <f t="shared" si="18"/>
        <v>0</v>
      </c>
      <c r="AJ8" s="1">
        <v>6</v>
      </c>
      <c r="AK8" s="2"/>
      <c r="AL8" s="2"/>
      <c r="AM8" s="2">
        <f t="shared" si="8"/>
        <v>0</v>
      </c>
      <c r="AN8" s="2">
        <f t="shared" si="19"/>
        <v>0</v>
      </c>
      <c r="AO8" s="1">
        <v>6</v>
      </c>
      <c r="AP8" s="2"/>
      <c r="AQ8" s="2"/>
      <c r="AR8" s="2">
        <f t="shared" si="9"/>
        <v>0</v>
      </c>
      <c r="AS8" s="2">
        <f t="shared" si="20"/>
        <v>0</v>
      </c>
      <c r="AT8" s="1">
        <v>6</v>
      </c>
      <c r="AU8" s="2"/>
      <c r="AV8" s="2"/>
      <c r="AW8" s="2">
        <f t="shared" si="10"/>
        <v>0</v>
      </c>
      <c r="AX8" s="2">
        <f t="shared" si="21"/>
        <v>0</v>
      </c>
      <c r="AY8" s="1">
        <v>6</v>
      </c>
      <c r="AZ8" s="2"/>
      <c r="BA8" s="2"/>
      <c r="BB8" s="2">
        <f t="shared" si="11"/>
        <v>0</v>
      </c>
      <c r="BC8" s="2">
        <f t="shared" si="22"/>
        <v>0</v>
      </c>
      <c r="BD8" s="1">
        <v>6</v>
      </c>
      <c r="BE8" s="2"/>
      <c r="BF8" s="2"/>
      <c r="BG8" s="2">
        <f t="shared" si="12"/>
        <v>0</v>
      </c>
      <c r="BH8" s="2">
        <f t="shared" si="23"/>
        <v>0</v>
      </c>
      <c r="BI8" s="5">
        <f>AB34</f>
        <v>1</v>
      </c>
    </row>
    <row r="9" spans="1:62" x14ac:dyDescent="0.25">
      <c r="A9" s="1">
        <v>7</v>
      </c>
      <c r="B9" s="2"/>
      <c r="C9" s="2"/>
      <c r="D9" s="2">
        <f t="shared" si="0"/>
        <v>0</v>
      </c>
      <c r="E9" s="2">
        <f t="shared" si="1"/>
        <v>0</v>
      </c>
      <c r="F9" s="1">
        <v>7</v>
      </c>
      <c r="G9" s="2"/>
      <c r="H9" s="2"/>
      <c r="I9" s="2">
        <f t="shared" si="2"/>
        <v>0</v>
      </c>
      <c r="J9" s="2">
        <f t="shared" si="13"/>
        <v>0</v>
      </c>
      <c r="K9" s="1">
        <v>7</v>
      </c>
      <c r="L9" s="2"/>
      <c r="M9" s="2"/>
      <c r="N9" s="2">
        <f t="shared" si="3"/>
        <v>0</v>
      </c>
      <c r="O9" s="2">
        <f t="shared" si="14"/>
        <v>0</v>
      </c>
      <c r="P9" s="1">
        <v>7</v>
      </c>
      <c r="Q9" s="2"/>
      <c r="R9" s="2"/>
      <c r="S9" s="2">
        <f t="shared" si="4"/>
        <v>0</v>
      </c>
      <c r="T9" s="2">
        <f t="shared" si="15"/>
        <v>0</v>
      </c>
      <c r="U9" s="1">
        <v>7</v>
      </c>
      <c r="V9" s="2"/>
      <c r="W9" s="2"/>
      <c r="X9" s="2">
        <f t="shared" si="5"/>
        <v>0</v>
      </c>
      <c r="Y9" s="2">
        <f t="shared" si="16"/>
        <v>0</v>
      </c>
      <c r="Z9" s="1">
        <v>7</v>
      </c>
      <c r="AA9" s="2"/>
      <c r="AB9" s="2"/>
      <c r="AC9" s="2">
        <f t="shared" si="6"/>
        <v>0</v>
      </c>
      <c r="AD9" s="2">
        <f t="shared" si="17"/>
        <v>0</v>
      </c>
      <c r="AE9" s="1">
        <v>7</v>
      </c>
      <c r="AF9" s="2"/>
      <c r="AG9" s="2"/>
      <c r="AH9" s="2">
        <f t="shared" si="7"/>
        <v>0</v>
      </c>
      <c r="AI9" s="2">
        <f t="shared" si="18"/>
        <v>0</v>
      </c>
      <c r="AJ9" s="1">
        <v>7</v>
      </c>
      <c r="AK9" s="2"/>
      <c r="AL9" s="2"/>
      <c r="AM9" s="2">
        <f t="shared" si="8"/>
        <v>0</v>
      </c>
      <c r="AN9" s="2">
        <f t="shared" si="19"/>
        <v>0</v>
      </c>
      <c r="AO9" s="1">
        <v>7</v>
      </c>
      <c r="AP9" s="2"/>
      <c r="AQ9" s="2"/>
      <c r="AR9" s="2">
        <f t="shared" si="9"/>
        <v>0</v>
      </c>
      <c r="AS9" s="2">
        <f t="shared" si="20"/>
        <v>0</v>
      </c>
      <c r="AT9" s="1">
        <v>7</v>
      </c>
      <c r="AU9" s="2"/>
      <c r="AV9" s="2"/>
      <c r="AW9" s="2">
        <f t="shared" si="10"/>
        <v>0</v>
      </c>
      <c r="AX9" s="2">
        <f t="shared" si="21"/>
        <v>0</v>
      </c>
      <c r="AY9" s="1">
        <v>7</v>
      </c>
      <c r="AZ9" s="2"/>
      <c r="BA9" s="2"/>
      <c r="BB9" s="2">
        <f t="shared" si="11"/>
        <v>0</v>
      </c>
      <c r="BC9" s="2">
        <f t="shared" si="22"/>
        <v>0</v>
      </c>
      <c r="BD9" s="1">
        <v>7</v>
      </c>
      <c r="BE9" s="2"/>
      <c r="BF9" s="2"/>
      <c r="BG9" s="2">
        <f t="shared" si="12"/>
        <v>0</v>
      </c>
      <c r="BH9" s="2">
        <f t="shared" si="23"/>
        <v>0</v>
      </c>
      <c r="BI9" s="5">
        <f>AG34</f>
        <v>1</v>
      </c>
    </row>
    <row r="10" spans="1:62" x14ac:dyDescent="0.25">
      <c r="A10" s="1">
        <v>8</v>
      </c>
      <c r="B10" s="2"/>
      <c r="C10" s="2"/>
      <c r="D10" s="2">
        <f t="shared" si="0"/>
        <v>0</v>
      </c>
      <c r="E10" s="2">
        <f t="shared" si="1"/>
        <v>0</v>
      </c>
      <c r="F10" s="1">
        <v>8</v>
      </c>
      <c r="G10" s="2"/>
      <c r="H10" s="2"/>
      <c r="I10" s="2">
        <f t="shared" si="2"/>
        <v>0</v>
      </c>
      <c r="J10" s="2">
        <f t="shared" si="13"/>
        <v>0</v>
      </c>
      <c r="K10" s="1">
        <v>8</v>
      </c>
      <c r="L10" s="2"/>
      <c r="M10" s="2"/>
      <c r="N10" s="2">
        <f t="shared" si="3"/>
        <v>0</v>
      </c>
      <c r="O10" s="2">
        <f t="shared" si="14"/>
        <v>0</v>
      </c>
      <c r="P10" s="1">
        <v>8</v>
      </c>
      <c r="Q10" s="2"/>
      <c r="R10" s="2"/>
      <c r="S10" s="2">
        <f t="shared" si="4"/>
        <v>0</v>
      </c>
      <c r="T10" s="2">
        <f t="shared" si="15"/>
        <v>0</v>
      </c>
      <c r="U10" s="1">
        <v>8</v>
      </c>
      <c r="V10" s="2"/>
      <c r="W10" s="2"/>
      <c r="X10" s="2">
        <f t="shared" si="5"/>
        <v>0</v>
      </c>
      <c r="Y10" s="2">
        <f t="shared" si="16"/>
        <v>0</v>
      </c>
      <c r="Z10" s="1">
        <v>8</v>
      </c>
      <c r="AA10" s="2"/>
      <c r="AB10" s="2"/>
      <c r="AC10" s="2">
        <f t="shared" si="6"/>
        <v>0</v>
      </c>
      <c r="AD10" s="2">
        <f t="shared" si="17"/>
        <v>0</v>
      </c>
      <c r="AE10" s="1">
        <v>8</v>
      </c>
      <c r="AF10" s="2"/>
      <c r="AG10" s="2"/>
      <c r="AH10" s="2">
        <f t="shared" si="7"/>
        <v>0</v>
      </c>
      <c r="AI10" s="2">
        <f t="shared" si="18"/>
        <v>0</v>
      </c>
      <c r="AJ10" s="1">
        <v>8</v>
      </c>
      <c r="AK10" s="2"/>
      <c r="AL10" s="2"/>
      <c r="AM10" s="2">
        <f t="shared" si="8"/>
        <v>0</v>
      </c>
      <c r="AN10" s="2">
        <f t="shared" si="19"/>
        <v>0</v>
      </c>
      <c r="AO10" s="1">
        <v>8</v>
      </c>
      <c r="AP10" s="2"/>
      <c r="AQ10" s="2"/>
      <c r="AR10" s="2">
        <f t="shared" si="9"/>
        <v>0</v>
      </c>
      <c r="AS10" s="2">
        <f t="shared" si="20"/>
        <v>0</v>
      </c>
      <c r="AT10" s="1">
        <v>8</v>
      </c>
      <c r="AU10" s="2"/>
      <c r="AV10" s="2"/>
      <c r="AW10" s="2">
        <f t="shared" si="10"/>
        <v>0</v>
      </c>
      <c r="AX10" s="2">
        <f t="shared" si="21"/>
        <v>0</v>
      </c>
      <c r="AY10" s="1">
        <v>8</v>
      </c>
      <c r="AZ10" s="2"/>
      <c r="BA10" s="2"/>
      <c r="BB10" s="2">
        <f t="shared" si="11"/>
        <v>0</v>
      </c>
      <c r="BC10" s="2">
        <f t="shared" si="22"/>
        <v>0</v>
      </c>
      <c r="BD10" s="1">
        <v>8</v>
      </c>
      <c r="BE10" s="2"/>
      <c r="BF10" s="2"/>
      <c r="BG10" s="2">
        <f t="shared" si="12"/>
        <v>0</v>
      </c>
      <c r="BH10" s="2">
        <f t="shared" si="23"/>
        <v>0</v>
      </c>
      <c r="BI10" s="5">
        <f>AL34</f>
        <v>1</v>
      </c>
    </row>
    <row r="11" spans="1:62" x14ac:dyDescent="0.25">
      <c r="A11" s="1">
        <v>9</v>
      </c>
      <c r="B11" s="2"/>
      <c r="C11" s="2"/>
      <c r="D11" s="2">
        <f t="shared" si="0"/>
        <v>0</v>
      </c>
      <c r="E11" s="2">
        <f t="shared" si="1"/>
        <v>0</v>
      </c>
      <c r="F11" s="1">
        <v>9</v>
      </c>
      <c r="G11" s="2"/>
      <c r="H11" s="2"/>
      <c r="I11" s="2">
        <f t="shared" si="2"/>
        <v>0</v>
      </c>
      <c r="J11" s="2">
        <f t="shared" si="13"/>
        <v>0</v>
      </c>
      <c r="K11" s="1">
        <v>9</v>
      </c>
      <c r="L11" s="2"/>
      <c r="M11" s="2"/>
      <c r="N11" s="2">
        <f t="shared" si="3"/>
        <v>0</v>
      </c>
      <c r="O11" s="2">
        <f t="shared" si="14"/>
        <v>0</v>
      </c>
      <c r="P11" s="1">
        <v>9</v>
      </c>
      <c r="Q11" s="2"/>
      <c r="R11" s="2"/>
      <c r="S11" s="2">
        <f t="shared" si="4"/>
        <v>0</v>
      </c>
      <c r="T11" s="2">
        <f t="shared" si="15"/>
        <v>0</v>
      </c>
      <c r="U11" s="1">
        <v>9</v>
      </c>
      <c r="V11" s="2"/>
      <c r="W11" s="2"/>
      <c r="X11" s="2">
        <f t="shared" si="5"/>
        <v>0</v>
      </c>
      <c r="Y11" s="2">
        <f t="shared" si="16"/>
        <v>0</v>
      </c>
      <c r="Z11" s="1">
        <v>9</v>
      </c>
      <c r="AA11" s="2"/>
      <c r="AB11" s="2"/>
      <c r="AC11" s="2">
        <f t="shared" si="6"/>
        <v>0</v>
      </c>
      <c r="AD11" s="2">
        <f t="shared" si="17"/>
        <v>0</v>
      </c>
      <c r="AE11" s="1">
        <v>9</v>
      </c>
      <c r="AF11" s="2"/>
      <c r="AG11" s="2"/>
      <c r="AH11" s="2">
        <f t="shared" si="7"/>
        <v>0</v>
      </c>
      <c r="AI11" s="2">
        <f t="shared" si="18"/>
        <v>0</v>
      </c>
      <c r="AJ11" s="1">
        <v>9</v>
      </c>
      <c r="AK11" s="2"/>
      <c r="AL11" s="2"/>
      <c r="AM11" s="2">
        <f t="shared" si="8"/>
        <v>0</v>
      </c>
      <c r="AN11" s="2">
        <f t="shared" si="19"/>
        <v>0</v>
      </c>
      <c r="AO11" s="1">
        <v>9</v>
      </c>
      <c r="AP11" s="2"/>
      <c r="AQ11" s="2"/>
      <c r="AR11" s="2">
        <f t="shared" si="9"/>
        <v>0</v>
      </c>
      <c r="AS11" s="2">
        <f t="shared" si="20"/>
        <v>0</v>
      </c>
      <c r="AT11" s="1">
        <v>9</v>
      </c>
      <c r="AU11" s="2"/>
      <c r="AV11" s="2"/>
      <c r="AW11" s="2">
        <f t="shared" si="10"/>
        <v>0</v>
      </c>
      <c r="AX11" s="2">
        <f t="shared" si="21"/>
        <v>0</v>
      </c>
      <c r="AY11" s="1">
        <v>9</v>
      </c>
      <c r="AZ11" s="2"/>
      <c r="BA11" s="2"/>
      <c r="BB11" s="2">
        <f t="shared" si="11"/>
        <v>0</v>
      </c>
      <c r="BC11" s="2">
        <f t="shared" si="22"/>
        <v>0</v>
      </c>
      <c r="BD11" s="1">
        <v>9</v>
      </c>
      <c r="BE11" s="2"/>
      <c r="BF11" s="2"/>
      <c r="BG11" s="2">
        <f t="shared" si="12"/>
        <v>0</v>
      </c>
      <c r="BH11" s="2">
        <f t="shared" si="23"/>
        <v>0</v>
      </c>
      <c r="BI11" s="5">
        <f>AQ34</f>
        <v>1</v>
      </c>
    </row>
    <row r="12" spans="1:62" x14ac:dyDescent="0.25">
      <c r="A12" s="1">
        <v>10</v>
      </c>
      <c r="B12" s="2"/>
      <c r="C12" s="2"/>
      <c r="D12" s="2">
        <f t="shared" si="0"/>
        <v>0</v>
      </c>
      <c r="E12" s="2">
        <f t="shared" si="1"/>
        <v>0</v>
      </c>
      <c r="F12" s="1">
        <v>10</v>
      </c>
      <c r="G12" s="2"/>
      <c r="H12" s="2"/>
      <c r="I12" s="2">
        <f t="shared" si="2"/>
        <v>0</v>
      </c>
      <c r="J12" s="2">
        <f t="shared" si="13"/>
        <v>0</v>
      </c>
      <c r="K12" s="1">
        <v>10</v>
      </c>
      <c r="L12" s="2"/>
      <c r="M12" s="2"/>
      <c r="N12" s="2">
        <f t="shared" si="3"/>
        <v>0</v>
      </c>
      <c r="O12" s="2">
        <f t="shared" si="14"/>
        <v>0</v>
      </c>
      <c r="P12" s="1">
        <v>10</v>
      </c>
      <c r="Q12" s="2"/>
      <c r="R12" s="2"/>
      <c r="S12" s="2">
        <f t="shared" si="4"/>
        <v>0</v>
      </c>
      <c r="T12" s="2">
        <f t="shared" si="15"/>
        <v>0</v>
      </c>
      <c r="U12" s="1">
        <v>10</v>
      </c>
      <c r="V12" s="2"/>
      <c r="W12" s="2"/>
      <c r="X12" s="2">
        <f t="shared" si="5"/>
        <v>0</v>
      </c>
      <c r="Y12" s="2">
        <f t="shared" si="16"/>
        <v>0</v>
      </c>
      <c r="Z12" s="1">
        <v>10</v>
      </c>
      <c r="AA12" s="2"/>
      <c r="AB12" s="2"/>
      <c r="AC12" s="2">
        <f t="shared" si="6"/>
        <v>0</v>
      </c>
      <c r="AD12" s="2">
        <f t="shared" si="17"/>
        <v>0</v>
      </c>
      <c r="AE12" s="1">
        <v>10</v>
      </c>
      <c r="AF12" s="2"/>
      <c r="AG12" s="2"/>
      <c r="AH12" s="2">
        <f t="shared" si="7"/>
        <v>0</v>
      </c>
      <c r="AI12" s="2">
        <f t="shared" si="18"/>
        <v>0</v>
      </c>
      <c r="AJ12" s="1">
        <v>10</v>
      </c>
      <c r="AK12" s="2"/>
      <c r="AL12" s="2"/>
      <c r="AM12" s="2">
        <f t="shared" si="8"/>
        <v>0</v>
      </c>
      <c r="AN12" s="2">
        <f t="shared" si="19"/>
        <v>0</v>
      </c>
      <c r="AO12" s="1">
        <v>10</v>
      </c>
      <c r="AP12" s="2"/>
      <c r="AQ12" s="2"/>
      <c r="AR12" s="2">
        <f t="shared" si="9"/>
        <v>0</v>
      </c>
      <c r="AS12" s="2">
        <f t="shared" si="20"/>
        <v>0</v>
      </c>
      <c r="AT12" s="1">
        <v>10</v>
      </c>
      <c r="AU12" s="2"/>
      <c r="AV12" s="2"/>
      <c r="AW12" s="2">
        <f t="shared" si="10"/>
        <v>0</v>
      </c>
      <c r="AX12" s="2">
        <f t="shared" si="21"/>
        <v>0</v>
      </c>
      <c r="AY12" s="1">
        <v>10</v>
      </c>
      <c r="AZ12" s="2"/>
      <c r="BA12" s="2"/>
      <c r="BB12" s="2">
        <f t="shared" si="11"/>
        <v>0</v>
      </c>
      <c r="BC12" s="2">
        <f t="shared" si="22"/>
        <v>0</v>
      </c>
      <c r="BD12" s="1">
        <v>10</v>
      </c>
      <c r="BE12" s="2"/>
      <c r="BF12" s="2"/>
      <c r="BG12" s="2">
        <f t="shared" si="12"/>
        <v>0</v>
      </c>
      <c r="BH12" s="2">
        <f t="shared" si="23"/>
        <v>0</v>
      </c>
      <c r="BI12" s="5">
        <f>AV34</f>
        <v>1</v>
      </c>
    </row>
    <row r="13" spans="1:62" x14ac:dyDescent="0.25">
      <c r="A13" s="1">
        <v>11</v>
      </c>
      <c r="B13" s="2"/>
      <c r="C13" s="2"/>
      <c r="D13" s="2">
        <f t="shared" si="0"/>
        <v>0</v>
      </c>
      <c r="E13" s="2">
        <f t="shared" si="1"/>
        <v>0</v>
      </c>
      <c r="F13" s="1">
        <v>11</v>
      </c>
      <c r="G13" s="2"/>
      <c r="H13" s="2"/>
      <c r="I13" s="2">
        <f t="shared" si="2"/>
        <v>0</v>
      </c>
      <c r="J13" s="2">
        <f t="shared" si="13"/>
        <v>0</v>
      </c>
      <c r="K13" s="1">
        <v>11</v>
      </c>
      <c r="L13" s="2"/>
      <c r="M13" s="2"/>
      <c r="N13" s="2">
        <f t="shared" si="3"/>
        <v>0</v>
      </c>
      <c r="O13" s="2">
        <f t="shared" si="14"/>
        <v>0</v>
      </c>
      <c r="P13" s="1">
        <v>11</v>
      </c>
      <c r="Q13" s="2"/>
      <c r="R13" s="2"/>
      <c r="S13" s="2">
        <f t="shared" si="4"/>
        <v>0</v>
      </c>
      <c r="T13" s="2">
        <f t="shared" si="15"/>
        <v>0</v>
      </c>
      <c r="U13" s="1">
        <v>11</v>
      </c>
      <c r="V13" s="2"/>
      <c r="W13" s="2"/>
      <c r="X13" s="2">
        <f t="shared" si="5"/>
        <v>0</v>
      </c>
      <c r="Y13" s="2">
        <f t="shared" si="16"/>
        <v>0</v>
      </c>
      <c r="Z13" s="1">
        <v>11</v>
      </c>
      <c r="AA13" s="2"/>
      <c r="AB13" s="2"/>
      <c r="AC13" s="2">
        <f t="shared" si="6"/>
        <v>0</v>
      </c>
      <c r="AD13" s="2">
        <f t="shared" si="17"/>
        <v>0</v>
      </c>
      <c r="AE13" s="1">
        <v>11</v>
      </c>
      <c r="AF13" s="2"/>
      <c r="AG13" s="2"/>
      <c r="AH13" s="2">
        <f t="shared" si="7"/>
        <v>0</v>
      </c>
      <c r="AI13" s="2">
        <f t="shared" si="18"/>
        <v>0</v>
      </c>
      <c r="AJ13" s="1">
        <v>11</v>
      </c>
      <c r="AK13" s="2"/>
      <c r="AL13" s="2"/>
      <c r="AM13" s="2">
        <f t="shared" si="8"/>
        <v>0</v>
      </c>
      <c r="AN13" s="2">
        <f t="shared" si="19"/>
        <v>0</v>
      </c>
      <c r="AO13" s="1">
        <v>11</v>
      </c>
      <c r="AP13" s="2"/>
      <c r="AQ13" s="2"/>
      <c r="AR13" s="2">
        <f t="shared" si="9"/>
        <v>0</v>
      </c>
      <c r="AS13" s="2">
        <f t="shared" si="20"/>
        <v>0</v>
      </c>
      <c r="AT13" s="1">
        <v>11</v>
      </c>
      <c r="AU13" s="2"/>
      <c r="AV13" s="2"/>
      <c r="AW13" s="2">
        <f t="shared" si="10"/>
        <v>0</v>
      </c>
      <c r="AX13" s="2">
        <f t="shared" si="21"/>
        <v>0</v>
      </c>
      <c r="AY13" s="1">
        <v>11</v>
      </c>
      <c r="AZ13" s="2"/>
      <c r="BA13" s="2"/>
      <c r="BB13" s="2">
        <f t="shared" si="11"/>
        <v>0</v>
      </c>
      <c r="BC13" s="2">
        <f t="shared" si="22"/>
        <v>0</v>
      </c>
      <c r="BD13" s="1">
        <v>11</v>
      </c>
      <c r="BE13" s="2"/>
      <c r="BF13" s="2"/>
      <c r="BG13" s="2">
        <f t="shared" si="12"/>
        <v>0</v>
      </c>
      <c r="BH13" s="2">
        <f t="shared" si="23"/>
        <v>0</v>
      </c>
      <c r="BI13" s="5">
        <f>BA34</f>
        <v>1</v>
      </c>
    </row>
    <row r="14" spans="1:62" x14ac:dyDescent="0.25">
      <c r="A14" s="1">
        <v>12</v>
      </c>
      <c r="B14" s="2"/>
      <c r="C14" s="2"/>
      <c r="D14" s="2">
        <f t="shared" si="0"/>
        <v>0</v>
      </c>
      <c r="E14" s="2">
        <f t="shared" si="1"/>
        <v>0</v>
      </c>
      <c r="F14" s="1">
        <v>12</v>
      </c>
      <c r="G14" s="2"/>
      <c r="H14" s="2"/>
      <c r="I14" s="2">
        <f t="shared" si="2"/>
        <v>0</v>
      </c>
      <c r="J14" s="2">
        <f t="shared" si="13"/>
        <v>0</v>
      </c>
      <c r="K14" s="1">
        <v>12</v>
      </c>
      <c r="L14" s="2"/>
      <c r="M14" s="2"/>
      <c r="N14" s="2">
        <f t="shared" si="3"/>
        <v>0</v>
      </c>
      <c r="O14" s="2">
        <f t="shared" si="14"/>
        <v>0</v>
      </c>
      <c r="P14" s="1">
        <v>12</v>
      </c>
      <c r="Q14" s="2"/>
      <c r="R14" s="2"/>
      <c r="S14" s="2">
        <f t="shared" si="4"/>
        <v>0</v>
      </c>
      <c r="T14" s="2">
        <f t="shared" si="15"/>
        <v>0</v>
      </c>
      <c r="U14" s="1">
        <v>12</v>
      </c>
      <c r="V14" s="2"/>
      <c r="W14" s="2"/>
      <c r="X14" s="2">
        <f t="shared" si="5"/>
        <v>0</v>
      </c>
      <c r="Y14" s="2">
        <f t="shared" si="16"/>
        <v>0</v>
      </c>
      <c r="Z14" s="1">
        <v>12</v>
      </c>
      <c r="AA14" s="2"/>
      <c r="AB14" s="2"/>
      <c r="AC14" s="2">
        <f t="shared" si="6"/>
        <v>0</v>
      </c>
      <c r="AD14" s="2">
        <f t="shared" si="17"/>
        <v>0</v>
      </c>
      <c r="AE14" s="1">
        <v>12</v>
      </c>
      <c r="AF14" s="2"/>
      <c r="AG14" s="2"/>
      <c r="AH14" s="2">
        <f t="shared" si="7"/>
        <v>0</v>
      </c>
      <c r="AI14" s="2">
        <f t="shared" si="18"/>
        <v>0</v>
      </c>
      <c r="AJ14" s="1">
        <v>12</v>
      </c>
      <c r="AK14" s="2"/>
      <c r="AL14" s="2"/>
      <c r="AM14" s="2">
        <f t="shared" si="8"/>
        <v>0</v>
      </c>
      <c r="AN14" s="2">
        <f t="shared" si="19"/>
        <v>0</v>
      </c>
      <c r="AO14" s="1">
        <v>12</v>
      </c>
      <c r="AP14" s="2"/>
      <c r="AQ14" s="2"/>
      <c r="AR14" s="2">
        <f t="shared" si="9"/>
        <v>0</v>
      </c>
      <c r="AS14" s="2">
        <f t="shared" si="20"/>
        <v>0</v>
      </c>
      <c r="AT14" s="1">
        <v>12</v>
      </c>
      <c r="AU14" s="2"/>
      <c r="AV14" s="2"/>
      <c r="AW14" s="2">
        <f t="shared" si="10"/>
        <v>0</v>
      </c>
      <c r="AX14" s="2">
        <f t="shared" si="21"/>
        <v>0</v>
      </c>
      <c r="AY14" s="1">
        <v>12</v>
      </c>
      <c r="AZ14" s="2"/>
      <c r="BA14" s="2"/>
      <c r="BB14" s="2">
        <f t="shared" si="11"/>
        <v>0</v>
      </c>
      <c r="BC14" s="2">
        <f t="shared" si="22"/>
        <v>0</v>
      </c>
      <c r="BD14" s="1">
        <v>12</v>
      </c>
      <c r="BE14" s="2"/>
      <c r="BF14" s="2"/>
      <c r="BG14" s="2">
        <f t="shared" si="12"/>
        <v>0</v>
      </c>
      <c r="BH14" s="2">
        <f t="shared" si="23"/>
        <v>0</v>
      </c>
      <c r="BI14" s="5">
        <f>BF34</f>
        <v>1</v>
      </c>
    </row>
    <row r="15" spans="1:62" x14ac:dyDescent="0.25">
      <c r="A15" s="1">
        <v>13</v>
      </c>
      <c r="B15" s="2"/>
      <c r="C15" s="2"/>
      <c r="D15" s="2">
        <f t="shared" si="0"/>
        <v>0</v>
      </c>
      <c r="E15" s="2">
        <f t="shared" si="1"/>
        <v>0</v>
      </c>
      <c r="F15" s="1">
        <v>13</v>
      </c>
      <c r="G15" s="2"/>
      <c r="H15" s="2"/>
      <c r="I15" s="2">
        <f t="shared" si="2"/>
        <v>0</v>
      </c>
      <c r="J15" s="2">
        <f>(J14 + G15) - H15</f>
        <v>0</v>
      </c>
      <c r="K15" s="1">
        <v>13</v>
      </c>
      <c r="L15" s="2"/>
      <c r="M15" s="2"/>
      <c r="N15" s="2">
        <f t="shared" si="3"/>
        <v>0</v>
      </c>
      <c r="O15" s="2">
        <f t="shared" si="14"/>
        <v>0</v>
      </c>
      <c r="P15" s="1">
        <v>13</v>
      </c>
      <c r="Q15" s="2"/>
      <c r="R15" s="2"/>
      <c r="S15" s="2">
        <f t="shared" si="4"/>
        <v>0</v>
      </c>
      <c r="T15" s="2">
        <f t="shared" si="15"/>
        <v>0</v>
      </c>
      <c r="U15" s="1">
        <v>13</v>
      </c>
      <c r="V15" s="2"/>
      <c r="W15" s="2"/>
      <c r="X15" s="2">
        <f t="shared" si="5"/>
        <v>0</v>
      </c>
      <c r="Y15" s="2">
        <f t="shared" si="16"/>
        <v>0</v>
      </c>
      <c r="Z15" s="1">
        <v>13</v>
      </c>
      <c r="AA15" s="2"/>
      <c r="AB15" s="2"/>
      <c r="AC15" s="2">
        <f t="shared" si="6"/>
        <v>0</v>
      </c>
      <c r="AD15" s="2">
        <f t="shared" si="17"/>
        <v>0</v>
      </c>
      <c r="AE15" s="1">
        <v>13</v>
      </c>
      <c r="AF15" s="2"/>
      <c r="AG15" s="2"/>
      <c r="AH15" s="2">
        <f t="shared" si="7"/>
        <v>0</v>
      </c>
      <c r="AI15" s="2">
        <f t="shared" si="18"/>
        <v>0</v>
      </c>
      <c r="AJ15" s="1">
        <v>13</v>
      </c>
      <c r="AK15" s="2"/>
      <c r="AL15" s="2"/>
      <c r="AM15" s="2">
        <f t="shared" si="8"/>
        <v>0</v>
      </c>
      <c r="AN15" s="2">
        <f t="shared" si="19"/>
        <v>0</v>
      </c>
      <c r="AO15" s="1">
        <v>13</v>
      </c>
      <c r="AP15" s="2"/>
      <c r="AQ15" s="2"/>
      <c r="AR15" s="2">
        <f t="shared" si="9"/>
        <v>0</v>
      </c>
      <c r="AS15" s="2">
        <f t="shared" si="20"/>
        <v>0</v>
      </c>
      <c r="AT15" s="1">
        <v>13</v>
      </c>
      <c r="AU15" s="2"/>
      <c r="AV15" s="2"/>
      <c r="AW15" s="2">
        <f t="shared" si="10"/>
        <v>0</v>
      </c>
      <c r="AX15" s="2">
        <f t="shared" si="21"/>
        <v>0</v>
      </c>
      <c r="AY15" s="1">
        <v>13</v>
      </c>
      <c r="AZ15" s="2"/>
      <c r="BA15" s="2"/>
      <c r="BB15" s="2">
        <f t="shared" si="11"/>
        <v>0</v>
      </c>
      <c r="BC15" s="2">
        <f t="shared" si="22"/>
        <v>0</v>
      </c>
      <c r="BD15" s="1">
        <v>13</v>
      </c>
      <c r="BE15" s="2"/>
      <c r="BF15" s="2"/>
      <c r="BG15" s="2">
        <f t="shared" si="12"/>
        <v>0</v>
      </c>
      <c r="BH15" s="2">
        <f t="shared" si="23"/>
        <v>0</v>
      </c>
    </row>
    <row r="16" spans="1:62" x14ac:dyDescent="0.25">
      <c r="A16" s="1">
        <v>14</v>
      </c>
      <c r="B16" s="2"/>
      <c r="C16" s="2"/>
      <c r="D16" s="2">
        <f t="shared" si="0"/>
        <v>0</v>
      </c>
      <c r="E16" s="2">
        <f>(E15 + B16) - C16</f>
        <v>0</v>
      </c>
      <c r="F16" s="1">
        <v>14</v>
      </c>
      <c r="G16" s="2"/>
      <c r="H16" s="2"/>
      <c r="I16" s="2">
        <f t="shared" si="2"/>
        <v>0</v>
      </c>
      <c r="J16" s="2">
        <f t="shared" si="13"/>
        <v>0</v>
      </c>
      <c r="K16" s="1">
        <v>14</v>
      </c>
      <c r="L16" s="2"/>
      <c r="M16" s="2"/>
      <c r="N16" s="2">
        <f t="shared" si="3"/>
        <v>0</v>
      </c>
      <c r="O16" s="2">
        <f t="shared" si="14"/>
        <v>0</v>
      </c>
      <c r="P16" s="1">
        <v>14</v>
      </c>
      <c r="Q16" s="2"/>
      <c r="R16" s="2"/>
      <c r="S16" s="2">
        <f t="shared" si="4"/>
        <v>0</v>
      </c>
      <c r="T16" s="2">
        <f t="shared" si="15"/>
        <v>0</v>
      </c>
      <c r="U16" s="1">
        <v>14</v>
      </c>
      <c r="V16" s="2"/>
      <c r="W16" s="2"/>
      <c r="X16" s="2">
        <f t="shared" si="5"/>
        <v>0</v>
      </c>
      <c r="Y16" s="2">
        <f t="shared" si="16"/>
        <v>0</v>
      </c>
      <c r="Z16" s="1">
        <v>14</v>
      </c>
      <c r="AA16" s="2"/>
      <c r="AB16" s="2"/>
      <c r="AC16" s="2">
        <f t="shared" si="6"/>
        <v>0</v>
      </c>
      <c r="AD16" s="2">
        <f t="shared" si="17"/>
        <v>0</v>
      </c>
      <c r="AE16" s="1">
        <v>14</v>
      </c>
      <c r="AF16" s="2"/>
      <c r="AG16" s="2"/>
      <c r="AH16" s="2">
        <f t="shared" si="7"/>
        <v>0</v>
      </c>
      <c r="AI16" s="2">
        <f t="shared" si="18"/>
        <v>0</v>
      </c>
      <c r="AJ16" s="1">
        <v>14</v>
      </c>
      <c r="AK16" s="2"/>
      <c r="AL16" s="2"/>
      <c r="AM16" s="2">
        <f t="shared" si="8"/>
        <v>0</v>
      </c>
      <c r="AN16" s="2">
        <f t="shared" si="19"/>
        <v>0</v>
      </c>
      <c r="AO16" s="1">
        <v>14</v>
      </c>
      <c r="AP16" s="2"/>
      <c r="AQ16" s="2"/>
      <c r="AR16" s="2">
        <f t="shared" si="9"/>
        <v>0</v>
      </c>
      <c r="AS16" s="2">
        <f t="shared" si="20"/>
        <v>0</v>
      </c>
      <c r="AT16" s="1">
        <v>14</v>
      </c>
      <c r="AU16" s="2"/>
      <c r="AV16" s="2"/>
      <c r="AW16" s="2">
        <f t="shared" si="10"/>
        <v>0</v>
      </c>
      <c r="AX16" s="2">
        <f t="shared" si="21"/>
        <v>0</v>
      </c>
      <c r="AY16" s="1">
        <v>14</v>
      </c>
      <c r="AZ16" s="2"/>
      <c r="BA16" s="2"/>
      <c r="BB16" s="2">
        <f t="shared" si="11"/>
        <v>0</v>
      </c>
      <c r="BC16" s="2">
        <f t="shared" si="22"/>
        <v>0</v>
      </c>
      <c r="BD16" s="1">
        <v>14</v>
      </c>
      <c r="BE16" s="2"/>
      <c r="BF16" s="2"/>
      <c r="BG16" s="2">
        <f t="shared" si="12"/>
        <v>0</v>
      </c>
      <c r="BH16" s="2">
        <f t="shared" si="23"/>
        <v>0</v>
      </c>
    </row>
    <row r="17" spans="1:60" x14ac:dyDescent="0.25">
      <c r="A17" s="1">
        <v>15</v>
      </c>
      <c r="B17" s="2"/>
      <c r="C17" s="2"/>
      <c r="D17" s="2">
        <f t="shared" si="0"/>
        <v>0</v>
      </c>
      <c r="E17" s="2">
        <f t="shared" si="1"/>
        <v>0</v>
      </c>
      <c r="F17" s="1">
        <v>15</v>
      </c>
      <c r="G17" s="2"/>
      <c r="H17" s="2"/>
      <c r="I17" s="2">
        <f t="shared" si="2"/>
        <v>0</v>
      </c>
      <c r="J17" s="2">
        <f t="shared" si="13"/>
        <v>0</v>
      </c>
      <c r="K17" s="1">
        <v>15</v>
      </c>
      <c r="L17" s="2"/>
      <c r="M17" s="2"/>
      <c r="N17" s="2">
        <f t="shared" si="3"/>
        <v>0</v>
      </c>
      <c r="O17" s="2">
        <f t="shared" si="14"/>
        <v>0</v>
      </c>
      <c r="P17" s="1">
        <v>15</v>
      </c>
      <c r="Q17" s="2"/>
      <c r="R17" s="2"/>
      <c r="S17" s="2">
        <f t="shared" si="4"/>
        <v>0</v>
      </c>
      <c r="T17" s="2">
        <f t="shared" si="15"/>
        <v>0</v>
      </c>
      <c r="U17" s="1">
        <v>15</v>
      </c>
      <c r="V17" s="2"/>
      <c r="W17" s="2"/>
      <c r="X17" s="2">
        <f t="shared" si="5"/>
        <v>0</v>
      </c>
      <c r="Y17" s="2">
        <f t="shared" si="16"/>
        <v>0</v>
      </c>
      <c r="Z17" s="1">
        <v>15</v>
      </c>
      <c r="AA17" s="2"/>
      <c r="AB17" s="2"/>
      <c r="AC17" s="2">
        <f t="shared" si="6"/>
        <v>0</v>
      </c>
      <c r="AD17" s="2">
        <f t="shared" si="17"/>
        <v>0</v>
      </c>
      <c r="AE17" s="1">
        <v>15</v>
      </c>
      <c r="AF17" s="2"/>
      <c r="AG17" s="2"/>
      <c r="AH17" s="2">
        <f t="shared" si="7"/>
        <v>0</v>
      </c>
      <c r="AI17" s="2">
        <f t="shared" si="18"/>
        <v>0</v>
      </c>
      <c r="AJ17" s="1">
        <v>15</v>
      </c>
      <c r="AK17" s="2"/>
      <c r="AL17" s="2"/>
      <c r="AM17" s="2">
        <f t="shared" si="8"/>
        <v>0</v>
      </c>
      <c r="AN17" s="2">
        <f t="shared" si="19"/>
        <v>0</v>
      </c>
      <c r="AO17" s="1">
        <v>15</v>
      </c>
      <c r="AP17" s="2"/>
      <c r="AQ17" s="2"/>
      <c r="AR17" s="2">
        <f t="shared" si="9"/>
        <v>0</v>
      </c>
      <c r="AS17" s="2">
        <f t="shared" si="20"/>
        <v>0</v>
      </c>
      <c r="AT17" s="1">
        <v>15</v>
      </c>
      <c r="AU17" s="2"/>
      <c r="AV17" s="2"/>
      <c r="AW17" s="2">
        <f t="shared" si="10"/>
        <v>0</v>
      </c>
      <c r="AX17" s="2">
        <f t="shared" si="21"/>
        <v>0</v>
      </c>
      <c r="AY17" s="1">
        <v>15</v>
      </c>
      <c r="AZ17" s="2"/>
      <c r="BA17" s="2"/>
      <c r="BB17" s="2">
        <f t="shared" si="11"/>
        <v>0</v>
      </c>
      <c r="BC17" s="2">
        <f t="shared" si="22"/>
        <v>0</v>
      </c>
      <c r="BD17" s="1">
        <v>15</v>
      </c>
      <c r="BE17" s="2"/>
      <c r="BF17" s="2"/>
      <c r="BG17" s="2">
        <f t="shared" si="12"/>
        <v>0</v>
      </c>
      <c r="BH17" s="2">
        <f t="shared" si="23"/>
        <v>0</v>
      </c>
    </row>
    <row r="18" spans="1:60" x14ac:dyDescent="0.25">
      <c r="A18" s="1">
        <v>16</v>
      </c>
      <c r="B18" s="2"/>
      <c r="C18" s="2"/>
      <c r="D18" s="2">
        <f t="shared" si="0"/>
        <v>0</v>
      </c>
      <c r="E18" s="2">
        <f t="shared" si="1"/>
        <v>0</v>
      </c>
      <c r="F18" s="1">
        <v>16</v>
      </c>
      <c r="G18" s="2"/>
      <c r="H18" s="2"/>
      <c r="I18" s="2">
        <f t="shared" si="2"/>
        <v>0</v>
      </c>
      <c r="J18" s="2">
        <f t="shared" si="13"/>
        <v>0</v>
      </c>
      <c r="K18" s="1">
        <v>16</v>
      </c>
      <c r="L18" s="2"/>
      <c r="M18" s="2"/>
      <c r="N18" s="2">
        <f t="shared" si="3"/>
        <v>0</v>
      </c>
      <c r="O18" s="2">
        <f t="shared" si="14"/>
        <v>0</v>
      </c>
      <c r="P18" s="1">
        <v>16</v>
      </c>
      <c r="Q18" s="2"/>
      <c r="R18" s="2"/>
      <c r="S18" s="2">
        <f t="shared" si="4"/>
        <v>0</v>
      </c>
      <c r="T18" s="2">
        <f t="shared" si="15"/>
        <v>0</v>
      </c>
      <c r="U18" s="1">
        <v>16</v>
      </c>
      <c r="V18" s="2"/>
      <c r="W18" s="2"/>
      <c r="X18" s="2">
        <f t="shared" si="5"/>
        <v>0</v>
      </c>
      <c r="Y18" s="2">
        <f t="shared" si="16"/>
        <v>0</v>
      </c>
      <c r="Z18" s="1">
        <v>16</v>
      </c>
      <c r="AA18" s="2"/>
      <c r="AB18" s="2"/>
      <c r="AC18" s="2">
        <f t="shared" si="6"/>
        <v>0</v>
      </c>
      <c r="AD18" s="2">
        <f t="shared" si="17"/>
        <v>0</v>
      </c>
      <c r="AE18" s="1">
        <v>16</v>
      </c>
      <c r="AF18" s="2"/>
      <c r="AG18" s="2"/>
      <c r="AH18" s="2">
        <f t="shared" si="7"/>
        <v>0</v>
      </c>
      <c r="AI18" s="2">
        <f t="shared" si="18"/>
        <v>0</v>
      </c>
      <c r="AJ18" s="1">
        <v>16</v>
      </c>
      <c r="AK18" s="2"/>
      <c r="AL18" s="2"/>
      <c r="AM18" s="2">
        <f t="shared" si="8"/>
        <v>0</v>
      </c>
      <c r="AN18" s="2">
        <f t="shared" si="19"/>
        <v>0</v>
      </c>
      <c r="AO18" s="1">
        <v>16</v>
      </c>
      <c r="AP18" s="2"/>
      <c r="AQ18" s="2"/>
      <c r="AR18" s="2">
        <f t="shared" si="9"/>
        <v>0</v>
      </c>
      <c r="AS18" s="2">
        <f t="shared" si="20"/>
        <v>0</v>
      </c>
      <c r="AT18" s="1">
        <v>16</v>
      </c>
      <c r="AU18" s="2"/>
      <c r="AV18" s="2"/>
      <c r="AW18" s="2">
        <f t="shared" si="10"/>
        <v>0</v>
      </c>
      <c r="AX18" s="2">
        <f t="shared" si="21"/>
        <v>0</v>
      </c>
      <c r="AY18" s="1">
        <v>16</v>
      </c>
      <c r="AZ18" s="2"/>
      <c r="BA18" s="2"/>
      <c r="BB18" s="2">
        <f t="shared" si="11"/>
        <v>0</v>
      </c>
      <c r="BC18" s="2">
        <f t="shared" si="22"/>
        <v>0</v>
      </c>
      <c r="BD18" s="1">
        <v>16</v>
      </c>
      <c r="BE18" s="2"/>
      <c r="BF18" s="2"/>
      <c r="BG18" s="2">
        <f t="shared" si="12"/>
        <v>0</v>
      </c>
      <c r="BH18" s="2">
        <f t="shared" si="23"/>
        <v>0</v>
      </c>
    </row>
    <row r="19" spans="1:60" x14ac:dyDescent="0.25">
      <c r="A19" s="1">
        <v>17</v>
      </c>
      <c r="B19" s="2"/>
      <c r="C19" s="2"/>
      <c r="D19" s="2">
        <f t="shared" si="0"/>
        <v>0</v>
      </c>
      <c r="E19" s="2">
        <f t="shared" si="1"/>
        <v>0</v>
      </c>
      <c r="F19" s="1">
        <v>17</v>
      </c>
      <c r="G19" s="2"/>
      <c r="H19" s="2"/>
      <c r="I19" s="2">
        <f t="shared" si="2"/>
        <v>0</v>
      </c>
      <c r="J19" s="2">
        <f t="shared" si="13"/>
        <v>0</v>
      </c>
      <c r="K19" s="1">
        <v>17</v>
      </c>
      <c r="L19" s="2"/>
      <c r="M19" s="2"/>
      <c r="N19" s="2">
        <f t="shared" si="3"/>
        <v>0</v>
      </c>
      <c r="O19" s="2">
        <f t="shared" si="14"/>
        <v>0</v>
      </c>
      <c r="P19" s="1">
        <v>17</v>
      </c>
      <c r="Q19" s="2"/>
      <c r="R19" s="2"/>
      <c r="S19" s="2">
        <f t="shared" si="4"/>
        <v>0</v>
      </c>
      <c r="T19" s="2">
        <f t="shared" si="15"/>
        <v>0</v>
      </c>
      <c r="U19" s="1">
        <v>17</v>
      </c>
      <c r="V19" s="2"/>
      <c r="W19" s="2"/>
      <c r="X19" s="2">
        <f t="shared" si="5"/>
        <v>0</v>
      </c>
      <c r="Y19" s="2">
        <f t="shared" si="16"/>
        <v>0</v>
      </c>
      <c r="Z19" s="1">
        <v>17</v>
      </c>
      <c r="AA19" s="2"/>
      <c r="AB19" s="2"/>
      <c r="AC19" s="2">
        <f t="shared" si="6"/>
        <v>0</v>
      </c>
      <c r="AD19" s="2">
        <f t="shared" si="17"/>
        <v>0</v>
      </c>
      <c r="AE19" s="1">
        <v>17</v>
      </c>
      <c r="AF19" s="2"/>
      <c r="AG19" s="2"/>
      <c r="AH19" s="2">
        <f t="shared" si="7"/>
        <v>0</v>
      </c>
      <c r="AI19" s="2">
        <f t="shared" si="18"/>
        <v>0</v>
      </c>
      <c r="AJ19" s="1">
        <v>17</v>
      </c>
      <c r="AK19" s="2"/>
      <c r="AL19" s="2"/>
      <c r="AM19" s="2">
        <f t="shared" si="8"/>
        <v>0</v>
      </c>
      <c r="AN19" s="2">
        <f t="shared" si="19"/>
        <v>0</v>
      </c>
      <c r="AO19" s="1">
        <v>17</v>
      </c>
      <c r="AP19" s="2"/>
      <c r="AQ19" s="2"/>
      <c r="AR19" s="2">
        <f t="shared" si="9"/>
        <v>0</v>
      </c>
      <c r="AS19" s="2">
        <f t="shared" si="20"/>
        <v>0</v>
      </c>
      <c r="AT19" s="1">
        <v>17</v>
      </c>
      <c r="AU19" s="2"/>
      <c r="AV19" s="2"/>
      <c r="AW19" s="2">
        <f t="shared" si="10"/>
        <v>0</v>
      </c>
      <c r="AX19" s="2">
        <f t="shared" si="21"/>
        <v>0</v>
      </c>
      <c r="AY19" s="1">
        <v>17</v>
      </c>
      <c r="AZ19" s="2"/>
      <c r="BA19" s="2"/>
      <c r="BB19" s="2">
        <f t="shared" si="11"/>
        <v>0</v>
      </c>
      <c r="BC19" s="2">
        <f t="shared" si="22"/>
        <v>0</v>
      </c>
      <c r="BD19" s="1">
        <v>17</v>
      </c>
      <c r="BE19" s="2"/>
      <c r="BF19" s="2"/>
      <c r="BG19" s="2">
        <f t="shared" si="12"/>
        <v>0</v>
      </c>
      <c r="BH19" s="2">
        <f t="shared" si="23"/>
        <v>0</v>
      </c>
    </row>
    <row r="20" spans="1:60" x14ac:dyDescent="0.25">
      <c r="A20" s="1">
        <v>18</v>
      </c>
      <c r="B20" s="2"/>
      <c r="C20" s="2"/>
      <c r="D20" s="2">
        <f t="shared" si="0"/>
        <v>0</v>
      </c>
      <c r="E20" s="2">
        <f t="shared" si="1"/>
        <v>0</v>
      </c>
      <c r="F20" s="1">
        <v>18</v>
      </c>
      <c r="G20" s="2"/>
      <c r="H20" s="2"/>
      <c r="I20" s="2">
        <f t="shared" si="2"/>
        <v>0</v>
      </c>
      <c r="J20" s="2">
        <f t="shared" si="13"/>
        <v>0</v>
      </c>
      <c r="K20" s="1">
        <v>18</v>
      </c>
      <c r="L20" s="2"/>
      <c r="M20" s="2"/>
      <c r="N20" s="2">
        <f t="shared" si="3"/>
        <v>0</v>
      </c>
      <c r="O20" s="2">
        <f t="shared" si="14"/>
        <v>0</v>
      </c>
      <c r="P20" s="1">
        <v>18</v>
      </c>
      <c r="Q20" s="2"/>
      <c r="R20" s="2"/>
      <c r="S20" s="2">
        <f t="shared" si="4"/>
        <v>0</v>
      </c>
      <c r="T20" s="2">
        <f t="shared" si="15"/>
        <v>0</v>
      </c>
      <c r="U20" s="1">
        <v>18</v>
      </c>
      <c r="V20" s="2"/>
      <c r="W20" s="2"/>
      <c r="X20" s="2">
        <f t="shared" si="5"/>
        <v>0</v>
      </c>
      <c r="Y20" s="2">
        <f t="shared" si="16"/>
        <v>0</v>
      </c>
      <c r="Z20" s="1">
        <v>18</v>
      </c>
      <c r="AA20" s="2"/>
      <c r="AB20" s="2"/>
      <c r="AC20" s="2">
        <f t="shared" si="6"/>
        <v>0</v>
      </c>
      <c r="AD20" s="2">
        <f t="shared" si="17"/>
        <v>0</v>
      </c>
      <c r="AE20" s="1">
        <v>18</v>
      </c>
      <c r="AF20" s="2"/>
      <c r="AG20" s="2"/>
      <c r="AH20" s="2">
        <f t="shared" si="7"/>
        <v>0</v>
      </c>
      <c r="AI20" s="2">
        <f t="shared" si="18"/>
        <v>0</v>
      </c>
      <c r="AJ20" s="1">
        <v>18</v>
      </c>
      <c r="AK20" s="2"/>
      <c r="AL20" s="2"/>
      <c r="AM20" s="2">
        <f t="shared" si="8"/>
        <v>0</v>
      </c>
      <c r="AN20" s="2">
        <f t="shared" si="19"/>
        <v>0</v>
      </c>
      <c r="AO20" s="1">
        <v>18</v>
      </c>
      <c r="AP20" s="2"/>
      <c r="AQ20" s="2"/>
      <c r="AR20" s="2">
        <f t="shared" si="9"/>
        <v>0</v>
      </c>
      <c r="AS20" s="2">
        <f t="shared" si="20"/>
        <v>0</v>
      </c>
      <c r="AT20" s="1">
        <v>18</v>
      </c>
      <c r="AU20" s="2"/>
      <c r="AV20" s="2"/>
      <c r="AW20" s="2">
        <f t="shared" si="10"/>
        <v>0</v>
      </c>
      <c r="AX20" s="2">
        <f t="shared" si="21"/>
        <v>0</v>
      </c>
      <c r="AY20" s="1">
        <v>18</v>
      </c>
      <c r="AZ20" s="2"/>
      <c r="BA20" s="2"/>
      <c r="BB20" s="2">
        <f t="shared" si="11"/>
        <v>0</v>
      </c>
      <c r="BC20" s="2">
        <f t="shared" si="22"/>
        <v>0</v>
      </c>
      <c r="BD20" s="1">
        <v>18</v>
      </c>
      <c r="BE20" s="2"/>
      <c r="BF20" s="2"/>
      <c r="BG20" s="2">
        <f t="shared" si="12"/>
        <v>0</v>
      </c>
      <c r="BH20" s="2">
        <f t="shared" si="23"/>
        <v>0</v>
      </c>
    </row>
    <row r="21" spans="1:60" x14ac:dyDescent="0.25">
      <c r="A21" s="1">
        <v>19</v>
      </c>
      <c r="B21" s="2"/>
      <c r="C21" s="2"/>
      <c r="D21" s="2">
        <f t="shared" si="0"/>
        <v>0</v>
      </c>
      <c r="E21" s="2">
        <f t="shared" si="1"/>
        <v>0</v>
      </c>
      <c r="F21" s="1">
        <v>19</v>
      </c>
      <c r="G21" s="2"/>
      <c r="H21" s="2"/>
      <c r="I21" s="2">
        <f t="shared" si="2"/>
        <v>0</v>
      </c>
      <c r="J21" s="2">
        <f t="shared" si="13"/>
        <v>0</v>
      </c>
      <c r="K21" s="1">
        <v>19</v>
      </c>
      <c r="L21" s="2"/>
      <c r="M21" s="2"/>
      <c r="N21" s="2">
        <f t="shared" si="3"/>
        <v>0</v>
      </c>
      <c r="O21" s="2">
        <f t="shared" si="14"/>
        <v>0</v>
      </c>
      <c r="P21" s="1">
        <v>19</v>
      </c>
      <c r="Q21" s="2"/>
      <c r="R21" s="2"/>
      <c r="S21" s="2">
        <f t="shared" si="4"/>
        <v>0</v>
      </c>
      <c r="T21" s="2">
        <f t="shared" si="15"/>
        <v>0</v>
      </c>
      <c r="U21" s="1">
        <v>19</v>
      </c>
      <c r="V21" s="2"/>
      <c r="W21" s="2"/>
      <c r="X21" s="2">
        <f t="shared" si="5"/>
        <v>0</v>
      </c>
      <c r="Y21" s="2">
        <f t="shared" si="16"/>
        <v>0</v>
      </c>
      <c r="Z21" s="1">
        <v>19</v>
      </c>
      <c r="AA21" s="2"/>
      <c r="AB21" s="2"/>
      <c r="AC21" s="2">
        <f t="shared" si="6"/>
        <v>0</v>
      </c>
      <c r="AD21" s="2">
        <f t="shared" si="17"/>
        <v>0</v>
      </c>
      <c r="AE21" s="1">
        <v>19</v>
      </c>
      <c r="AF21" s="2"/>
      <c r="AG21" s="2"/>
      <c r="AH21" s="2">
        <f t="shared" si="7"/>
        <v>0</v>
      </c>
      <c r="AI21" s="2">
        <f t="shared" si="18"/>
        <v>0</v>
      </c>
      <c r="AJ21" s="1">
        <v>19</v>
      </c>
      <c r="AK21" s="2"/>
      <c r="AL21" s="2"/>
      <c r="AM21" s="2">
        <f t="shared" si="8"/>
        <v>0</v>
      </c>
      <c r="AN21" s="2">
        <f t="shared" si="19"/>
        <v>0</v>
      </c>
      <c r="AO21" s="1">
        <v>19</v>
      </c>
      <c r="AP21" s="2"/>
      <c r="AQ21" s="2"/>
      <c r="AR21" s="2">
        <f t="shared" si="9"/>
        <v>0</v>
      </c>
      <c r="AS21" s="2">
        <f t="shared" si="20"/>
        <v>0</v>
      </c>
      <c r="AT21" s="1">
        <v>19</v>
      </c>
      <c r="AU21" s="2"/>
      <c r="AV21" s="2"/>
      <c r="AW21" s="2">
        <f t="shared" si="10"/>
        <v>0</v>
      </c>
      <c r="AX21" s="2">
        <f t="shared" si="21"/>
        <v>0</v>
      </c>
      <c r="AY21" s="1">
        <v>19</v>
      </c>
      <c r="AZ21" s="2"/>
      <c r="BA21" s="2"/>
      <c r="BB21" s="2">
        <f t="shared" si="11"/>
        <v>0</v>
      </c>
      <c r="BC21" s="2">
        <f t="shared" si="22"/>
        <v>0</v>
      </c>
      <c r="BD21" s="1">
        <v>19</v>
      </c>
      <c r="BE21" s="2"/>
      <c r="BF21" s="2"/>
      <c r="BG21" s="2">
        <f t="shared" si="12"/>
        <v>0</v>
      </c>
      <c r="BH21" s="2">
        <f t="shared" si="23"/>
        <v>0</v>
      </c>
    </row>
    <row r="22" spans="1:60" x14ac:dyDescent="0.25">
      <c r="A22" s="1">
        <v>20</v>
      </c>
      <c r="B22" s="2"/>
      <c r="C22" s="2"/>
      <c r="D22" s="2">
        <f t="shared" si="0"/>
        <v>0</v>
      </c>
      <c r="E22" s="2">
        <f t="shared" si="1"/>
        <v>0</v>
      </c>
      <c r="F22" s="1">
        <v>20</v>
      </c>
      <c r="G22" s="2"/>
      <c r="H22" s="2"/>
      <c r="I22" s="2">
        <f t="shared" si="2"/>
        <v>0</v>
      </c>
      <c r="J22" s="2">
        <f t="shared" si="13"/>
        <v>0</v>
      </c>
      <c r="K22" s="1">
        <v>20</v>
      </c>
      <c r="L22" s="2"/>
      <c r="M22" s="2"/>
      <c r="N22" s="2">
        <f t="shared" si="3"/>
        <v>0</v>
      </c>
      <c r="O22" s="2">
        <f t="shared" si="14"/>
        <v>0</v>
      </c>
      <c r="P22" s="1">
        <v>20</v>
      </c>
      <c r="Q22" s="2"/>
      <c r="R22" s="2"/>
      <c r="S22" s="2">
        <f t="shared" si="4"/>
        <v>0</v>
      </c>
      <c r="T22" s="2">
        <f t="shared" si="15"/>
        <v>0</v>
      </c>
      <c r="U22" s="1">
        <v>20</v>
      </c>
      <c r="V22" s="2"/>
      <c r="W22" s="2"/>
      <c r="X22" s="2">
        <f t="shared" si="5"/>
        <v>0</v>
      </c>
      <c r="Y22" s="2">
        <f t="shared" si="16"/>
        <v>0</v>
      </c>
      <c r="Z22" s="1">
        <v>20</v>
      </c>
      <c r="AA22" s="2"/>
      <c r="AB22" s="2"/>
      <c r="AC22" s="2">
        <f t="shared" si="6"/>
        <v>0</v>
      </c>
      <c r="AD22" s="2">
        <f t="shared" si="17"/>
        <v>0</v>
      </c>
      <c r="AE22" s="1">
        <v>20</v>
      </c>
      <c r="AF22" s="2"/>
      <c r="AG22" s="2"/>
      <c r="AH22" s="2">
        <f t="shared" si="7"/>
        <v>0</v>
      </c>
      <c r="AI22" s="2">
        <f t="shared" si="18"/>
        <v>0</v>
      </c>
      <c r="AJ22" s="1">
        <v>20</v>
      </c>
      <c r="AK22" s="2"/>
      <c r="AL22" s="2"/>
      <c r="AM22" s="2">
        <f t="shared" si="8"/>
        <v>0</v>
      </c>
      <c r="AN22" s="2">
        <f t="shared" si="19"/>
        <v>0</v>
      </c>
      <c r="AO22" s="1">
        <v>20</v>
      </c>
      <c r="AP22" s="2"/>
      <c r="AQ22" s="2"/>
      <c r="AR22" s="2">
        <f t="shared" si="9"/>
        <v>0</v>
      </c>
      <c r="AS22" s="2">
        <f t="shared" si="20"/>
        <v>0</v>
      </c>
      <c r="AT22" s="1">
        <v>20</v>
      </c>
      <c r="AU22" s="2"/>
      <c r="AV22" s="2"/>
      <c r="AW22" s="2">
        <f t="shared" si="10"/>
        <v>0</v>
      </c>
      <c r="AX22" s="2">
        <f t="shared" si="21"/>
        <v>0</v>
      </c>
      <c r="AY22" s="1">
        <v>20</v>
      </c>
      <c r="AZ22" s="2"/>
      <c r="BA22" s="2"/>
      <c r="BB22" s="2">
        <f t="shared" si="11"/>
        <v>0</v>
      </c>
      <c r="BC22" s="2">
        <f t="shared" si="22"/>
        <v>0</v>
      </c>
      <c r="BD22" s="1">
        <v>20</v>
      </c>
      <c r="BE22" s="2"/>
      <c r="BF22" s="2"/>
      <c r="BG22" s="2">
        <f t="shared" si="12"/>
        <v>0</v>
      </c>
      <c r="BH22" s="2">
        <f t="shared" si="23"/>
        <v>0</v>
      </c>
    </row>
    <row r="23" spans="1:60" x14ac:dyDescent="0.25">
      <c r="A23" s="1">
        <v>21</v>
      </c>
      <c r="B23" s="2"/>
      <c r="C23" s="2"/>
      <c r="D23" s="2">
        <f t="shared" si="0"/>
        <v>0</v>
      </c>
      <c r="E23" s="2">
        <f t="shared" si="1"/>
        <v>0</v>
      </c>
      <c r="F23" s="1">
        <v>21</v>
      </c>
      <c r="G23" s="2"/>
      <c r="H23" s="2"/>
      <c r="I23" s="2">
        <f t="shared" si="2"/>
        <v>0</v>
      </c>
      <c r="J23" s="2">
        <f t="shared" si="13"/>
        <v>0</v>
      </c>
      <c r="K23" s="1">
        <v>21</v>
      </c>
      <c r="L23" s="2"/>
      <c r="M23" s="2"/>
      <c r="N23" s="2">
        <f t="shared" si="3"/>
        <v>0</v>
      </c>
      <c r="O23" s="2">
        <f t="shared" si="14"/>
        <v>0</v>
      </c>
      <c r="P23" s="1">
        <v>21</v>
      </c>
      <c r="Q23" s="2"/>
      <c r="R23" s="2"/>
      <c r="S23" s="2">
        <f t="shared" si="4"/>
        <v>0</v>
      </c>
      <c r="T23" s="2">
        <f t="shared" si="15"/>
        <v>0</v>
      </c>
      <c r="U23" s="1">
        <v>21</v>
      </c>
      <c r="V23" s="2"/>
      <c r="W23" s="2"/>
      <c r="X23" s="2">
        <f t="shared" si="5"/>
        <v>0</v>
      </c>
      <c r="Y23" s="2">
        <f t="shared" si="16"/>
        <v>0</v>
      </c>
      <c r="Z23" s="1">
        <v>21</v>
      </c>
      <c r="AA23" s="2"/>
      <c r="AB23" s="2"/>
      <c r="AC23" s="2">
        <f t="shared" si="6"/>
        <v>0</v>
      </c>
      <c r="AD23" s="2">
        <f t="shared" si="17"/>
        <v>0</v>
      </c>
      <c r="AE23" s="1">
        <v>21</v>
      </c>
      <c r="AF23" s="2"/>
      <c r="AG23" s="2"/>
      <c r="AH23" s="2">
        <f t="shared" si="7"/>
        <v>0</v>
      </c>
      <c r="AI23" s="2">
        <f t="shared" si="18"/>
        <v>0</v>
      </c>
      <c r="AJ23" s="1">
        <v>21</v>
      </c>
      <c r="AK23" s="2"/>
      <c r="AL23" s="2"/>
      <c r="AM23" s="2">
        <f t="shared" si="8"/>
        <v>0</v>
      </c>
      <c r="AN23" s="2">
        <f t="shared" si="19"/>
        <v>0</v>
      </c>
      <c r="AO23" s="1">
        <v>21</v>
      </c>
      <c r="AP23" s="2"/>
      <c r="AQ23" s="2"/>
      <c r="AR23" s="2">
        <f t="shared" si="9"/>
        <v>0</v>
      </c>
      <c r="AS23" s="2">
        <f t="shared" si="20"/>
        <v>0</v>
      </c>
      <c r="AT23" s="1">
        <v>21</v>
      </c>
      <c r="AU23" s="2"/>
      <c r="AV23" s="2"/>
      <c r="AW23" s="2">
        <f t="shared" si="10"/>
        <v>0</v>
      </c>
      <c r="AX23" s="2">
        <f t="shared" si="21"/>
        <v>0</v>
      </c>
      <c r="AY23" s="1">
        <v>21</v>
      </c>
      <c r="AZ23" s="2"/>
      <c r="BA23" s="2"/>
      <c r="BB23" s="2">
        <f t="shared" si="11"/>
        <v>0</v>
      </c>
      <c r="BC23" s="2">
        <f t="shared" si="22"/>
        <v>0</v>
      </c>
      <c r="BD23" s="1">
        <v>21</v>
      </c>
      <c r="BE23" s="2"/>
      <c r="BF23" s="2"/>
      <c r="BG23" s="2">
        <f t="shared" si="12"/>
        <v>0</v>
      </c>
      <c r="BH23" s="2">
        <f t="shared" si="23"/>
        <v>0</v>
      </c>
    </row>
    <row r="24" spans="1:60" x14ac:dyDescent="0.25">
      <c r="A24" s="1">
        <v>22</v>
      </c>
      <c r="B24" s="2"/>
      <c r="C24" s="2"/>
      <c r="D24" s="2">
        <f t="shared" si="0"/>
        <v>0</v>
      </c>
      <c r="E24" s="2">
        <f t="shared" si="1"/>
        <v>0</v>
      </c>
      <c r="F24" s="1">
        <v>22</v>
      </c>
      <c r="G24" s="2"/>
      <c r="H24" s="2"/>
      <c r="I24" s="2">
        <f t="shared" si="2"/>
        <v>0</v>
      </c>
      <c r="J24" s="2">
        <f t="shared" si="13"/>
        <v>0</v>
      </c>
      <c r="K24" s="1">
        <v>22</v>
      </c>
      <c r="L24" s="2"/>
      <c r="M24" s="2"/>
      <c r="N24" s="2">
        <f t="shared" si="3"/>
        <v>0</v>
      </c>
      <c r="O24" s="2">
        <f t="shared" si="14"/>
        <v>0</v>
      </c>
      <c r="P24" s="1">
        <v>22</v>
      </c>
      <c r="Q24" s="2"/>
      <c r="R24" s="2"/>
      <c r="S24" s="2">
        <f t="shared" si="4"/>
        <v>0</v>
      </c>
      <c r="T24" s="2">
        <f t="shared" si="15"/>
        <v>0</v>
      </c>
      <c r="U24" s="1">
        <v>22</v>
      </c>
      <c r="V24" s="2"/>
      <c r="W24" s="2"/>
      <c r="X24" s="2">
        <f t="shared" si="5"/>
        <v>0</v>
      </c>
      <c r="Y24" s="2">
        <f t="shared" si="16"/>
        <v>0</v>
      </c>
      <c r="Z24" s="1">
        <v>22</v>
      </c>
      <c r="AA24" s="2"/>
      <c r="AB24" s="2"/>
      <c r="AC24" s="2">
        <f t="shared" si="6"/>
        <v>0</v>
      </c>
      <c r="AD24" s="2">
        <f t="shared" si="17"/>
        <v>0</v>
      </c>
      <c r="AE24" s="1">
        <v>22</v>
      </c>
      <c r="AF24" s="2"/>
      <c r="AG24" s="2"/>
      <c r="AH24" s="2">
        <f t="shared" si="7"/>
        <v>0</v>
      </c>
      <c r="AI24" s="2">
        <f t="shared" si="18"/>
        <v>0</v>
      </c>
      <c r="AJ24" s="1">
        <v>22</v>
      </c>
      <c r="AK24" s="2"/>
      <c r="AL24" s="2"/>
      <c r="AM24" s="2">
        <f t="shared" si="8"/>
        <v>0</v>
      </c>
      <c r="AN24" s="2">
        <f t="shared" si="19"/>
        <v>0</v>
      </c>
      <c r="AO24" s="1">
        <v>22</v>
      </c>
      <c r="AP24" s="2"/>
      <c r="AQ24" s="2"/>
      <c r="AR24" s="2">
        <f t="shared" si="9"/>
        <v>0</v>
      </c>
      <c r="AS24" s="2">
        <f t="shared" si="20"/>
        <v>0</v>
      </c>
      <c r="AT24" s="1">
        <v>22</v>
      </c>
      <c r="AU24" s="2"/>
      <c r="AV24" s="2"/>
      <c r="AW24" s="2">
        <f t="shared" si="10"/>
        <v>0</v>
      </c>
      <c r="AX24" s="2">
        <f t="shared" si="21"/>
        <v>0</v>
      </c>
      <c r="AY24" s="1">
        <v>22</v>
      </c>
      <c r="AZ24" s="2"/>
      <c r="BA24" s="2"/>
      <c r="BB24" s="2">
        <f t="shared" si="11"/>
        <v>0</v>
      </c>
      <c r="BC24" s="2">
        <f t="shared" si="22"/>
        <v>0</v>
      </c>
      <c r="BD24" s="1">
        <v>22</v>
      </c>
      <c r="BE24" s="2"/>
      <c r="BF24" s="2"/>
      <c r="BG24" s="2">
        <f t="shared" si="12"/>
        <v>0</v>
      </c>
      <c r="BH24" s="2">
        <f t="shared" si="23"/>
        <v>0</v>
      </c>
    </row>
    <row r="25" spans="1:60" x14ac:dyDescent="0.25">
      <c r="A25" s="1">
        <v>23</v>
      </c>
      <c r="B25" s="2"/>
      <c r="C25" s="2"/>
      <c r="D25" s="2">
        <f t="shared" si="0"/>
        <v>0</v>
      </c>
      <c r="E25" s="2">
        <f t="shared" si="1"/>
        <v>0</v>
      </c>
      <c r="F25" s="1">
        <v>23</v>
      </c>
      <c r="G25" s="2"/>
      <c r="H25" s="2"/>
      <c r="I25" s="2">
        <f t="shared" si="2"/>
        <v>0</v>
      </c>
      <c r="J25" s="2">
        <f t="shared" si="13"/>
        <v>0</v>
      </c>
      <c r="K25" s="1">
        <v>23</v>
      </c>
      <c r="L25" s="2"/>
      <c r="M25" s="2"/>
      <c r="N25" s="2">
        <f t="shared" si="3"/>
        <v>0</v>
      </c>
      <c r="O25" s="2">
        <f t="shared" si="14"/>
        <v>0</v>
      </c>
      <c r="P25" s="1">
        <v>23</v>
      </c>
      <c r="Q25" s="2"/>
      <c r="R25" s="2"/>
      <c r="S25" s="2">
        <f t="shared" si="4"/>
        <v>0</v>
      </c>
      <c r="T25" s="2">
        <f t="shared" si="15"/>
        <v>0</v>
      </c>
      <c r="U25" s="1">
        <v>23</v>
      </c>
      <c r="V25" s="2"/>
      <c r="W25" s="2"/>
      <c r="X25" s="2">
        <f t="shared" si="5"/>
        <v>0</v>
      </c>
      <c r="Y25" s="2">
        <f t="shared" si="16"/>
        <v>0</v>
      </c>
      <c r="Z25" s="1">
        <v>23</v>
      </c>
      <c r="AA25" s="2"/>
      <c r="AB25" s="2"/>
      <c r="AC25" s="2">
        <f t="shared" si="6"/>
        <v>0</v>
      </c>
      <c r="AD25" s="2">
        <f t="shared" si="17"/>
        <v>0</v>
      </c>
      <c r="AE25" s="1">
        <v>23</v>
      </c>
      <c r="AF25" s="2"/>
      <c r="AG25" s="2"/>
      <c r="AH25" s="2">
        <f t="shared" si="7"/>
        <v>0</v>
      </c>
      <c r="AI25" s="2">
        <f t="shared" si="18"/>
        <v>0</v>
      </c>
      <c r="AJ25" s="1">
        <v>23</v>
      </c>
      <c r="AK25" s="2"/>
      <c r="AL25" s="2"/>
      <c r="AM25" s="2">
        <f t="shared" si="8"/>
        <v>0</v>
      </c>
      <c r="AN25" s="2">
        <f t="shared" si="19"/>
        <v>0</v>
      </c>
      <c r="AO25" s="1">
        <v>23</v>
      </c>
      <c r="AP25" s="2"/>
      <c r="AQ25" s="2"/>
      <c r="AR25" s="2">
        <f t="shared" si="9"/>
        <v>0</v>
      </c>
      <c r="AS25" s="2">
        <f t="shared" si="20"/>
        <v>0</v>
      </c>
      <c r="AT25" s="1">
        <v>23</v>
      </c>
      <c r="AU25" s="2"/>
      <c r="AV25" s="2"/>
      <c r="AW25" s="2">
        <f t="shared" si="10"/>
        <v>0</v>
      </c>
      <c r="AX25" s="2">
        <f t="shared" si="21"/>
        <v>0</v>
      </c>
      <c r="AY25" s="1">
        <v>23</v>
      </c>
      <c r="AZ25" s="2"/>
      <c r="BA25" s="2"/>
      <c r="BB25" s="2">
        <f t="shared" si="11"/>
        <v>0</v>
      </c>
      <c r="BC25" s="2">
        <f t="shared" si="22"/>
        <v>0</v>
      </c>
      <c r="BD25" s="1">
        <v>23</v>
      </c>
      <c r="BE25" s="2"/>
      <c r="BF25" s="2"/>
      <c r="BG25" s="2">
        <f t="shared" si="12"/>
        <v>0</v>
      </c>
      <c r="BH25" s="2">
        <f t="shared" si="23"/>
        <v>0</v>
      </c>
    </row>
    <row r="26" spans="1:60" x14ac:dyDescent="0.25">
      <c r="A26" s="1">
        <v>24</v>
      </c>
      <c r="B26" s="2"/>
      <c r="C26" s="2"/>
      <c r="D26" s="2">
        <f t="shared" si="0"/>
        <v>0</v>
      </c>
      <c r="E26" s="2">
        <f t="shared" si="1"/>
        <v>0</v>
      </c>
      <c r="F26" s="1">
        <v>24</v>
      </c>
      <c r="G26" s="2"/>
      <c r="H26" s="2"/>
      <c r="I26" s="2">
        <f t="shared" si="2"/>
        <v>0</v>
      </c>
      <c r="J26" s="2">
        <f t="shared" si="13"/>
        <v>0</v>
      </c>
      <c r="K26" s="1">
        <v>24</v>
      </c>
      <c r="L26" s="2"/>
      <c r="M26" s="2"/>
      <c r="N26" s="2">
        <f t="shared" si="3"/>
        <v>0</v>
      </c>
      <c r="O26" s="2">
        <f t="shared" si="14"/>
        <v>0</v>
      </c>
      <c r="P26" s="1">
        <v>24</v>
      </c>
      <c r="Q26" s="2"/>
      <c r="R26" s="2"/>
      <c r="S26" s="2">
        <f t="shared" si="4"/>
        <v>0</v>
      </c>
      <c r="T26" s="2">
        <f t="shared" si="15"/>
        <v>0</v>
      </c>
      <c r="U26" s="1">
        <v>24</v>
      </c>
      <c r="V26" s="2"/>
      <c r="W26" s="2"/>
      <c r="X26" s="2">
        <f t="shared" si="5"/>
        <v>0</v>
      </c>
      <c r="Y26" s="2">
        <f t="shared" si="16"/>
        <v>0</v>
      </c>
      <c r="Z26" s="1">
        <v>24</v>
      </c>
      <c r="AA26" s="2"/>
      <c r="AB26" s="2"/>
      <c r="AC26" s="2">
        <f t="shared" si="6"/>
        <v>0</v>
      </c>
      <c r="AD26" s="2">
        <f t="shared" si="17"/>
        <v>0</v>
      </c>
      <c r="AE26" s="1">
        <v>24</v>
      </c>
      <c r="AF26" s="2"/>
      <c r="AG26" s="2"/>
      <c r="AH26" s="2">
        <f t="shared" si="7"/>
        <v>0</v>
      </c>
      <c r="AI26" s="2">
        <f t="shared" si="18"/>
        <v>0</v>
      </c>
      <c r="AJ26" s="1">
        <v>24</v>
      </c>
      <c r="AK26" s="2"/>
      <c r="AL26" s="2"/>
      <c r="AM26" s="2">
        <f t="shared" si="8"/>
        <v>0</v>
      </c>
      <c r="AN26" s="2">
        <f t="shared" si="19"/>
        <v>0</v>
      </c>
      <c r="AO26" s="1">
        <v>24</v>
      </c>
      <c r="AP26" s="2"/>
      <c r="AQ26" s="2"/>
      <c r="AR26" s="2">
        <f t="shared" si="9"/>
        <v>0</v>
      </c>
      <c r="AS26" s="2">
        <f t="shared" si="20"/>
        <v>0</v>
      </c>
      <c r="AT26" s="1">
        <v>24</v>
      </c>
      <c r="AU26" s="2"/>
      <c r="AV26" s="2"/>
      <c r="AW26" s="2">
        <f t="shared" si="10"/>
        <v>0</v>
      </c>
      <c r="AX26" s="2">
        <f t="shared" si="21"/>
        <v>0</v>
      </c>
      <c r="AY26" s="1">
        <v>24</v>
      </c>
      <c r="AZ26" s="2"/>
      <c r="BA26" s="2"/>
      <c r="BB26" s="2">
        <f t="shared" si="11"/>
        <v>0</v>
      </c>
      <c r="BC26" s="2">
        <f t="shared" si="22"/>
        <v>0</v>
      </c>
      <c r="BD26" s="1">
        <v>24</v>
      </c>
      <c r="BE26" s="2"/>
      <c r="BF26" s="2"/>
      <c r="BG26" s="2">
        <f t="shared" si="12"/>
        <v>0</v>
      </c>
      <c r="BH26" s="2">
        <f t="shared" si="23"/>
        <v>0</v>
      </c>
    </row>
    <row r="27" spans="1:60" x14ac:dyDescent="0.25">
      <c r="A27" s="1">
        <v>25</v>
      </c>
      <c r="B27" s="2"/>
      <c r="C27" s="2"/>
      <c r="D27" s="2">
        <f t="shared" si="0"/>
        <v>0</v>
      </c>
      <c r="E27" s="2">
        <f t="shared" si="1"/>
        <v>0</v>
      </c>
      <c r="F27" s="1">
        <v>25</v>
      </c>
      <c r="G27" s="2"/>
      <c r="H27" s="2"/>
      <c r="I27" s="2">
        <f t="shared" si="2"/>
        <v>0</v>
      </c>
      <c r="J27" s="2">
        <f t="shared" si="13"/>
        <v>0</v>
      </c>
      <c r="K27" s="1">
        <v>25</v>
      </c>
      <c r="L27" s="2"/>
      <c r="M27" s="2"/>
      <c r="N27" s="2">
        <f t="shared" si="3"/>
        <v>0</v>
      </c>
      <c r="O27" s="2">
        <f t="shared" si="14"/>
        <v>0</v>
      </c>
      <c r="P27" s="1">
        <v>25</v>
      </c>
      <c r="Q27" s="2"/>
      <c r="R27" s="2"/>
      <c r="S27" s="2">
        <f t="shared" si="4"/>
        <v>0</v>
      </c>
      <c r="T27" s="2">
        <f t="shared" si="15"/>
        <v>0</v>
      </c>
      <c r="U27" s="1">
        <v>25</v>
      </c>
      <c r="V27" s="2"/>
      <c r="W27" s="2"/>
      <c r="X27" s="2">
        <f t="shared" si="5"/>
        <v>0</v>
      </c>
      <c r="Y27" s="2">
        <f t="shared" si="16"/>
        <v>0</v>
      </c>
      <c r="Z27" s="1">
        <v>25</v>
      </c>
      <c r="AA27" s="2"/>
      <c r="AB27" s="2"/>
      <c r="AC27" s="2">
        <f t="shared" si="6"/>
        <v>0</v>
      </c>
      <c r="AD27" s="2">
        <f t="shared" si="17"/>
        <v>0</v>
      </c>
      <c r="AE27" s="1">
        <v>25</v>
      </c>
      <c r="AF27" s="2"/>
      <c r="AG27" s="2"/>
      <c r="AH27" s="2">
        <f t="shared" si="7"/>
        <v>0</v>
      </c>
      <c r="AI27" s="2">
        <f t="shared" si="18"/>
        <v>0</v>
      </c>
      <c r="AJ27" s="1">
        <v>25</v>
      </c>
      <c r="AK27" s="2"/>
      <c r="AL27" s="2"/>
      <c r="AM27" s="2">
        <f t="shared" si="8"/>
        <v>0</v>
      </c>
      <c r="AN27" s="2">
        <f t="shared" si="19"/>
        <v>0</v>
      </c>
      <c r="AO27" s="1">
        <v>25</v>
      </c>
      <c r="AP27" s="2"/>
      <c r="AQ27" s="2"/>
      <c r="AR27" s="2">
        <f t="shared" si="9"/>
        <v>0</v>
      </c>
      <c r="AS27" s="2">
        <f t="shared" si="20"/>
        <v>0</v>
      </c>
      <c r="AT27" s="1">
        <v>25</v>
      </c>
      <c r="AU27" s="2"/>
      <c r="AV27" s="2"/>
      <c r="AW27" s="2">
        <f t="shared" si="10"/>
        <v>0</v>
      </c>
      <c r="AX27" s="2">
        <f t="shared" si="21"/>
        <v>0</v>
      </c>
      <c r="AY27" s="1">
        <v>25</v>
      </c>
      <c r="AZ27" s="2"/>
      <c r="BA27" s="2"/>
      <c r="BB27" s="2">
        <f t="shared" si="11"/>
        <v>0</v>
      </c>
      <c r="BC27" s="2">
        <f t="shared" si="22"/>
        <v>0</v>
      </c>
      <c r="BD27" s="1">
        <v>25</v>
      </c>
      <c r="BE27" s="2"/>
      <c r="BF27" s="2"/>
      <c r="BG27" s="2">
        <f t="shared" si="12"/>
        <v>0</v>
      </c>
      <c r="BH27" s="2">
        <f t="shared" si="23"/>
        <v>0</v>
      </c>
    </row>
    <row r="28" spans="1:60" x14ac:dyDescent="0.25">
      <c r="A28" s="1">
        <v>26</v>
      </c>
      <c r="B28" s="2"/>
      <c r="C28" s="2"/>
      <c r="D28" s="2">
        <f t="shared" si="0"/>
        <v>0</v>
      </c>
      <c r="E28" s="2">
        <f t="shared" si="1"/>
        <v>0</v>
      </c>
      <c r="F28" s="1">
        <v>26</v>
      </c>
      <c r="G28" s="2"/>
      <c r="H28" s="2"/>
      <c r="I28" s="2">
        <f t="shared" si="2"/>
        <v>0</v>
      </c>
      <c r="J28" s="2">
        <f t="shared" si="13"/>
        <v>0</v>
      </c>
      <c r="K28" s="1">
        <v>26</v>
      </c>
      <c r="L28" s="2"/>
      <c r="M28" s="2"/>
      <c r="N28" s="2">
        <f t="shared" si="3"/>
        <v>0</v>
      </c>
      <c r="O28" s="2">
        <f t="shared" si="14"/>
        <v>0</v>
      </c>
      <c r="P28" s="1">
        <v>26</v>
      </c>
      <c r="Q28" s="2"/>
      <c r="R28" s="2"/>
      <c r="S28" s="2">
        <f t="shared" si="4"/>
        <v>0</v>
      </c>
      <c r="T28" s="2">
        <f t="shared" si="15"/>
        <v>0</v>
      </c>
      <c r="U28" s="1">
        <v>26</v>
      </c>
      <c r="V28" s="2"/>
      <c r="W28" s="2"/>
      <c r="X28" s="2">
        <f t="shared" si="5"/>
        <v>0</v>
      </c>
      <c r="Y28" s="2">
        <f t="shared" si="16"/>
        <v>0</v>
      </c>
      <c r="Z28" s="1">
        <v>26</v>
      </c>
      <c r="AA28" s="2"/>
      <c r="AB28" s="2"/>
      <c r="AC28" s="2">
        <f t="shared" si="6"/>
        <v>0</v>
      </c>
      <c r="AD28" s="2">
        <f t="shared" si="17"/>
        <v>0</v>
      </c>
      <c r="AE28" s="1">
        <v>26</v>
      </c>
      <c r="AF28" s="2"/>
      <c r="AG28" s="2"/>
      <c r="AH28" s="2">
        <f t="shared" si="7"/>
        <v>0</v>
      </c>
      <c r="AI28" s="2">
        <f t="shared" si="18"/>
        <v>0</v>
      </c>
      <c r="AJ28" s="1">
        <v>26</v>
      </c>
      <c r="AK28" s="2"/>
      <c r="AL28" s="2"/>
      <c r="AM28" s="2">
        <f t="shared" si="8"/>
        <v>0</v>
      </c>
      <c r="AN28" s="2">
        <f t="shared" si="19"/>
        <v>0</v>
      </c>
      <c r="AO28" s="1">
        <v>26</v>
      </c>
      <c r="AP28" s="2"/>
      <c r="AQ28" s="2"/>
      <c r="AR28" s="2">
        <f t="shared" si="9"/>
        <v>0</v>
      </c>
      <c r="AS28" s="2">
        <f t="shared" si="20"/>
        <v>0</v>
      </c>
      <c r="AT28" s="1">
        <v>26</v>
      </c>
      <c r="AU28" s="2"/>
      <c r="AV28" s="2"/>
      <c r="AW28" s="2">
        <f t="shared" si="10"/>
        <v>0</v>
      </c>
      <c r="AX28" s="2">
        <f t="shared" si="21"/>
        <v>0</v>
      </c>
      <c r="AY28" s="1">
        <v>26</v>
      </c>
      <c r="AZ28" s="2"/>
      <c r="BA28" s="2"/>
      <c r="BB28" s="2">
        <f t="shared" si="11"/>
        <v>0</v>
      </c>
      <c r="BC28" s="2">
        <f t="shared" si="22"/>
        <v>0</v>
      </c>
      <c r="BD28" s="1">
        <v>26</v>
      </c>
      <c r="BE28" s="2"/>
      <c r="BF28" s="2"/>
      <c r="BG28" s="2">
        <f t="shared" si="12"/>
        <v>0</v>
      </c>
      <c r="BH28" s="2">
        <f t="shared" si="23"/>
        <v>0</v>
      </c>
    </row>
    <row r="29" spans="1:60" x14ac:dyDescent="0.25">
      <c r="A29" s="1">
        <v>27</v>
      </c>
      <c r="B29" s="2"/>
      <c r="C29" s="2"/>
      <c r="D29" s="2">
        <f t="shared" si="0"/>
        <v>0</v>
      </c>
      <c r="E29" s="2">
        <f t="shared" si="1"/>
        <v>0</v>
      </c>
      <c r="F29" s="1">
        <v>27</v>
      </c>
      <c r="G29" s="2"/>
      <c r="H29" s="2"/>
      <c r="I29" s="2">
        <f t="shared" si="2"/>
        <v>0</v>
      </c>
      <c r="J29" s="2">
        <f t="shared" si="13"/>
        <v>0</v>
      </c>
      <c r="K29" s="1">
        <v>27</v>
      </c>
      <c r="L29" s="2"/>
      <c r="M29" s="2"/>
      <c r="N29" s="2">
        <f t="shared" si="3"/>
        <v>0</v>
      </c>
      <c r="O29" s="2">
        <f t="shared" si="14"/>
        <v>0</v>
      </c>
      <c r="P29" s="1">
        <v>27</v>
      </c>
      <c r="Q29" s="2"/>
      <c r="R29" s="2"/>
      <c r="S29" s="2">
        <f t="shared" si="4"/>
        <v>0</v>
      </c>
      <c r="T29" s="2">
        <f t="shared" si="15"/>
        <v>0</v>
      </c>
      <c r="U29" s="1">
        <v>27</v>
      </c>
      <c r="V29" s="2"/>
      <c r="W29" s="2"/>
      <c r="X29" s="2">
        <f t="shared" si="5"/>
        <v>0</v>
      </c>
      <c r="Y29" s="2">
        <f t="shared" si="16"/>
        <v>0</v>
      </c>
      <c r="Z29" s="1">
        <v>27</v>
      </c>
      <c r="AA29" s="2"/>
      <c r="AB29" s="2"/>
      <c r="AC29" s="2">
        <f t="shared" si="6"/>
        <v>0</v>
      </c>
      <c r="AD29" s="2">
        <f t="shared" si="17"/>
        <v>0</v>
      </c>
      <c r="AE29" s="1">
        <v>27</v>
      </c>
      <c r="AF29" s="2"/>
      <c r="AG29" s="2"/>
      <c r="AH29" s="2">
        <f t="shared" si="7"/>
        <v>0</v>
      </c>
      <c r="AI29" s="2">
        <f t="shared" si="18"/>
        <v>0</v>
      </c>
      <c r="AJ29" s="1">
        <v>27</v>
      </c>
      <c r="AK29" s="2"/>
      <c r="AL29" s="2"/>
      <c r="AM29" s="2">
        <f t="shared" si="8"/>
        <v>0</v>
      </c>
      <c r="AN29" s="2">
        <f t="shared" si="19"/>
        <v>0</v>
      </c>
      <c r="AO29" s="1">
        <v>27</v>
      </c>
      <c r="AP29" s="2"/>
      <c r="AQ29" s="2"/>
      <c r="AR29" s="2">
        <f t="shared" si="9"/>
        <v>0</v>
      </c>
      <c r="AS29" s="2">
        <f t="shared" si="20"/>
        <v>0</v>
      </c>
      <c r="AT29" s="1">
        <v>27</v>
      </c>
      <c r="AU29" s="2"/>
      <c r="AV29" s="2"/>
      <c r="AW29" s="2">
        <f t="shared" si="10"/>
        <v>0</v>
      </c>
      <c r="AX29" s="2">
        <f t="shared" si="21"/>
        <v>0</v>
      </c>
      <c r="AY29" s="1">
        <v>27</v>
      </c>
      <c r="AZ29" s="2"/>
      <c r="BA29" s="2"/>
      <c r="BB29" s="2">
        <f t="shared" si="11"/>
        <v>0</v>
      </c>
      <c r="BC29" s="2">
        <f t="shared" si="22"/>
        <v>0</v>
      </c>
      <c r="BD29" s="1">
        <v>27</v>
      </c>
      <c r="BE29" s="2"/>
      <c r="BF29" s="2"/>
      <c r="BG29" s="2">
        <f t="shared" si="12"/>
        <v>0</v>
      </c>
      <c r="BH29" s="2">
        <f t="shared" si="23"/>
        <v>0</v>
      </c>
    </row>
    <row r="30" spans="1:60" x14ac:dyDescent="0.25">
      <c r="A30" s="1">
        <v>28</v>
      </c>
      <c r="B30" s="2"/>
      <c r="C30" s="2"/>
      <c r="D30" s="2">
        <f t="shared" si="0"/>
        <v>0</v>
      </c>
      <c r="E30" s="2">
        <f t="shared" si="1"/>
        <v>0</v>
      </c>
      <c r="F30" s="1">
        <v>28</v>
      </c>
      <c r="G30" s="2"/>
      <c r="H30" s="2"/>
      <c r="I30" s="2">
        <f t="shared" si="2"/>
        <v>0</v>
      </c>
      <c r="J30" s="2">
        <f t="shared" si="13"/>
        <v>0</v>
      </c>
      <c r="K30" s="1">
        <v>28</v>
      </c>
      <c r="L30" s="2"/>
      <c r="M30" s="2"/>
      <c r="N30" s="2">
        <f t="shared" si="3"/>
        <v>0</v>
      </c>
      <c r="O30" s="2">
        <f t="shared" si="14"/>
        <v>0</v>
      </c>
      <c r="P30" s="1">
        <v>28</v>
      </c>
      <c r="Q30" s="2"/>
      <c r="R30" s="2"/>
      <c r="S30" s="2">
        <f t="shared" si="4"/>
        <v>0</v>
      </c>
      <c r="T30" s="2">
        <f t="shared" si="15"/>
        <v>0</v>
      </c>
      <c r="U30" s="1">
        <v>28</v>
      </c>
      <c r="V30" s="2"/>
      <c r="W30" s="2"/>
      <c r="X30" s="2">
        <f t="shared" si="5"/>
        <v>0</v>
      </c>
      <c r="Y30" s="2">
        <f t="shared" si="16"/>
        <v>0</v>
      </c>
      <c r="Z30" s="1">
        <v>28</v>
      </c>
      <c r="AA30" s="2"/>
      <c r="AB30" s="2"/>
      <c r="AC30" s="2">
        <f t="shared" si="6"/>
        <v>0</v>
      </c>
      <c r="AD30" s="2">
        <f t="shared" si="17"/>
        <v>0</v>
      </c>
      <c r="AE30" s="1">
        <v>28</v>
      </c>
      <c r="AF30" s="2"/>
      <c r="AG30" s="2"/>
      <c r="AH30" s="2">
        <f t="shared" si="7"/>
        <v>0</v>
      </c>
      <c r="AI30" s="2">
        <f t="shared" si="18"/>
        <v>0</v>
      </c>
      <c r="AJ30" s="1">
        <v>28</v>
      </c>
      <c r="AK30" s="2"/>
      <c r="AL30" s="2"/>
      <c r="AM30" s="2">
        <f t="shared" si="8"/>
        <v>0</v>
      </c>
      <c r="AN30" s="2">
        <f t="shared" si="19"/>
        <v>0</v>
      </c>
      <c r="AO30" s="1">
        <v>28</v>
      </c>
      <c r="AP30" s="2"/>
      <c r="AQ30" s="2"/>
      <c r="AR30" s="2">
        <f t="shared" si="9"/>
        <v>0</v>
      </c>
      <c r="AS30" s="2">
        <f t="shared" si="20"/>
        <v>0</v>
      </c>
      <c r="AT30" s="1">
        <v>28</v>
      </c>
      <c r="AU30" s="2"/>
      <c r="AV30" s="2"/>
      <c r="AW30" s="2">
        <f t="shared" si="10"/>
        <v>0</v>
      </c>
      <c r="AX30" s="2">
        <f t="shared" si="21"/>
        <v>0</v>
      </c>
      <c r="AY30" s="1">
        <v>28</v>
      </c>
      <c r="AZ30" s="2"/>
      <c r="BA30" s="2"/>
      <c r="BB30" s="2">
        <f t="shared" si="11"/>
        <v>0</v>
      </c>
      <c r="BC30" s="2">
        <f t="shared" si="22"/>
        <v>0</v>
      </c>
      <c r="BD30" s="1">
        <v>28</v>
      </c>
      <c r="BE30" s="2"/>
      <c r="BF30" s="2"/>
      <c r="BG30" s="2">
        <f t="shared" si="12"/>
        <v>0</v>
      </c>
      <c r="BH30" s="2">
        <f t="shared" si="23"/>
        <v>0</v>
      </c>
    </row>
    <row r="31" spans="1:60" x14ac:dyDescent="0.25">
      <c r="A31" s="1">
        <v>29</v>
      </c>
      <c r="B31" s="2"/>
      <c r="C31" s="2"/>
      <c r="D31" s="2">
        <f t="shared" si="0"/>
        <v>0</v>
      </c>
      <c r="E31" s="2">
        <f t="shared" si="1"/>
        <v>0</v>
      </c>
      <c r="F31" s="1">
        <v>29</v>
      </c>
      <c r="G31" s="2"/>
      <c r="H31" s="2"/>
      <c r="I31" s="2">
        <f t="shared" si="2"/>
        <v>0</v>
      </c>
      <c r="J31" s="2">
        <f t="shared" si="13"/>
        <v>0</v>
      </c>
      <c r="K31" s="1">
        <v>29</v>
      </c>
      <c r="L31" s="2"/>
      <c r="M31" s="2"/>
      <c r="N31" s="2">
        <f t="shared" si="3"/>
        <v>0</v>
      </c>
      <c r="O31" s="2">
        <f t="shared" si="14"/>
        <v>0</v>
      </c>
      <c r="P31" s="1">
        <v>29</v>
      </c>
      <c r="Q31" s="2"/>
      <c r="R31" s="2"/>
      <c r="S31" s="2">
        <f t="shared" si="4"/>
        <v>0</v>
      </c>
      <c r="T31" s="2">
        <f t="shared" si="15"/>
        <v>0</v>
      </c>
      <c r="U31" s="1">
        <v>29</v>
      </c>
      <c r="V31" s="2"/>
      <c r="W31" s="2"/>
      <c r="X31" s="2">
        <f t="shared" si="5"/>
        <v>0</v>
      </c>
      <c r="Y31" s="2">
        <f t="shared" si="16"/>
        <v>0</v>
      </c>
      <c r="Z31" s="1">
        <v>29</v>
      </c>
      <c r="AA31" s="2"/>
      <c r="AB31" s="2"/>
      <c r="AC31" s="2">
        <f t="shared" si="6"/>
        <v>0</v>
      </c>
      <c r="AD31" s="2">
        <f t="shared" si="17"/>
        <v>0</v>
      </c>
      <c r="AE31" s="1">
        <v>29</v>
      </c>
      <c r="AF31" s="2"/>
      <c r="AG31" s="2"/>
      <c r="AH31" s="2">
        <f t="shared" si="7"/>
        <v>0</v>
      </c>
      <c r="AI31" s="2">
        <f t="shared" si="18"/>
        <v>0</v>
      </c>
      <c r="AJ31" s="1">
        <v>29</v>
      </c>
      <c r="AK31" s="2"/>
      <c r="AL31" s="2"/>
      <c r="AM31" s="2">
        <f t="shared" si="8"/>
        <v>0</v>
      </c>
      <c r="AN31" s="2">
        <f t="shared" si="19"/>
        <v>0</v>
      </c>
      <c r="AO31" s="1">
        <v>29</v>
      </c>
      <c r="AP31" s="2"/>
      <c r="AQ31" s="2"/>
      <c r="AR31" s="2">
        <f t="shared" si="9"/>
        <v>0</v>
      </c>
      <c r="AS31" s="2">
        <f t="shared" si="20"/>
        <v>0</v>
      </c>
      <c r="AT31" s="1">
        <v>29</v>
      </c>
      <c r="AU31" s="2"/>
      <c r="AV31" s="2"/>
      <c r="AW31" s="2">
        <f t="shared" si="10"/>
        <v>0</v>
      </c>
      <c r="AX31" s="2">
        <f t="shared" si="21"/>
        <v>0</v>
      </c>
      <c r="AY31" s="1">
        <v>29</v>
      </c>
      <c r="AZ31" s="2"/>
      <c r="BA31" s="2"/>
      <c r="BB31" s="2">
        <f t="shared" si="11"/>
        <v>0</v>
      </c>
      <c r="BC31" s="2">
        <f t="shared" si="22"/>
        <v>0</v>
      </c>
      <c r="BD31" s="1">
        <v>29</v>
      </c>
      <c r="BE31" s="2"/>
      <c r="BF31" s="2"/>
      <c r="BG31" s="2">
        <f t="shared" si="12"/>
        <v>0</v>
      </c>
      <c r="BH31" s="2">
        <f t="shared" si="23"/>
        <v>0</v>
      </c>
    </row>
    <row r="32" spans="1:60" x14ac:dyDescent="0.25">
      <c r="A32" s="1">
        <v>30</v>
      </c>
      <c r="B32" s="2"/>
      <c r="C32" s="2"/>
      <c r="D32" s="2">
        <f t="shared" si="0"/>
        <v>0</v>
      </c>
      <c r="E32" s="2">
        <f t="shared" si="1"/>
        <v>0</v>
      </c>
      <c r="F32" s="1">
        <v>30</v>
      </c>
      <c r="G32" s="2"/>
      <c r="H32" s="2"/>
      <c r="I32" s="2">
        <f t="shared" si="2"/>
        <v>0</v>
      </c>
      <c r="J32" s="2">
        <f t="shared" si="13"/>
        <v>0</v>
      </c>
      <c r="K32" s="1">
        <v>30</v>
      </c>
      <c r="L32" s="2"/>
      <c r="M32" s="2"/>
      <c r="N32" s="2">
        <f t="shared" si="3"/>
        <v>0</v>
      </c>
      <c r="O32" s="2">
        <f t="shared" si="14"/>
        <v>0</v>
      </c>
      <c r="P32" s="1">
        <v>30</v>
      </c>
      <c r="Q32" s="2"/>
      <c r="R32" s="2"/>
      <c r="S32" s="2">
        <f t="shared" si="4"/>
        <v>0</v>
      </c>
      <c r="T32" s="2">
        <f t="shared" si="15"/>
        <v>0</v>
      </c>
      <c r="U32" s="1">
        <v>30</v>
      </c>
      <c r="V32" s="2"/>
      <c r="W32" s="2"/>
      <c r="X32" s="2">
        <f t="shared" si="5"/>
        <v>0</v>
      </c>
      <c r="Y32" s="2">
        <f t="shared" si="16"/>
        <v>0</v>
      </c>
      <c r="Z32" s="1">
        <v>30</v>
      </c>
      <c r="AA32" s="2"/>
      <c r="AB32" s="2"/>
      <c r="AC32" s="2">
        <f t="shared" si="6"/>
        <v>0</v>
      </c>
      <c r="AD32" s="2">
        <f t="shared" si="17"/>
        <v>0</v>
      </c>
      <c r="AE32" s="1">
        <v>30</v>
      </c>
      <c r="AF32" s="2"/>
      <c r="AG32" s="2"/>
      <c r="AH32" s="2">
        <f t="shared" si="7"/>
        <v>0</v>
      </c>
      <c r="AI32" s="2">
        <f t="shared" si="18"/>
        <v>0</v>
      </c>
      <c r="AJ32" s="1">
        <v>30</v>
      </c>
      <c r="AK32" s="2"/>
      <c r="AL32" s="2"/>
      <c r="AM32" s="2">
        <f t="shared" si="8"/>
        <v>0</v>
      </c>
      <c r="AN32" s="2">
        <f t="shared" si="19"/>
        <v>0</v>
      </c>
      <c r="AO32" s="1">
        <v>30</v>
      </c>
      <c r="AP32" s="2"/>
      <c r="AQ32" s="2"/>
      <c r="AR32" s="2">
        <f t="shared" si="9"/>
        <v>0</v>
      </c>
      <c r="AS32" s="2">
        <f t="shared" si="20"/>
        <v>0</v>
      </c>
      <c r="AT32" s="1">
        <v>30</v>
      </c>
      <c r="AU32" s="2"/>
      <c r="AV32" s="2"/>
      <c r="AW32" s="2">
        <f t="shared" si="10"/>
        <v>0</v>
      </c>
      <c r="AX32" s="2">
        <f t="shared" si="21"/>
        <v>0</v>
      </c>
      <c r="AY32" s="1">
        <v>30</v>
      </c>
      <c r="AZ32" s="2"/>
      <c r="BA32" s="2"/>
      <c r="BB32" s="2">
        <f t="shared" si="11"/>
        <v>0</v>
      </c>
      <c r="BC32" s="2">
        <f t="shared" si="22"/>
        <v>0</v>
      </c>
      <c r="BD32" s="1">
        <v>30</v>
      </c>
      <c r="BE32" s="2"/>
      <c r="BF32" s="2"/>
      <c r="BG32" s="2">
        <f t="shared" si="12"/>
        <v>0</v>
      </c>
      <c r="BH32" s="2">
        <f t="shared" si="23"/>
        <v>0</v>
      </c>
    </row>
    <row r="33" spans="1:60" x14ac:dyDescent="0.25">
      <c r="A33" s="1">
        <v>31</v>
      </c>
      <c r="B33" s="2"/>
      <c r="C33" s="2"/>
      <c r="D33" s="2">
        <f t="shared" si="0"/>
        <v>0</v>
      </c>
      <c r="E33" s="2">
        <f t="shared" si="1"/>
        <v>0</v>
      </c>
      <c r="F33" s="1">
        <v>31</v>
      </c>
      <c r="G33" s="2"/>
      <c r="H33" s="2"/>
      <c r="I33" s="2">
        <f t="shared" si="2"/>
        <v>0</v>
      </c>
      <c r="J33" s="2">
        <f t="shared" si="13"/>
        <v>0</v>
      </c>
      <c r="K33" s="1">
        <v>31</v>
      </c>
      <c r="L33" s="2"/>
      <c r="M33" s="2"/>
      <c r="N33" s="2">
        <f t="shared" si="3"/>
        <v>0</v>
      </c>
      <c r="O33" s="2">
        <f t="shared" si="14"/>
        <v>0</v>
      </c>
      <c r="P33" s="1">
        <v>31</v>
      </c>
      <c r="Q33" s="2"/>
      <c r="R33" s="2"/>
      <c r="S33" s="2">
        <f t="shared" si="4"/>
        <v>0</v>
      </c>
      <c r="T33" s="2">
        <f t="shared" si="15"/>
        <v>0</v>
      </c>
      <c r="U33" s="1">
        <v>31</v>
      </c>
      <c r="V33" s="2"/>
      <c r="W33" s="2"/>
      <c r="X33" s="2">
        <f t="shared" si="5"/>
        <v>0</v>
      </c>
      <c r="Y33" s="2">
        <f t="shared" si="16"/>
        <v>0</v>
      </c>
      <c r="Z33" s="1">
        <v>31</v>
      </c>
      <c r="AA33" s="2"/>
      <c r="AB33" s="2"/>
      <c r="AC33" s="2">
        <f t="shared" si="6"/>
        <v>0</v>
      </c>
      <c r="AD33" s="2">
        <f t="shared" si="17"/>
        <v>0</v>
      </c>
      <c r="AE33" s="1">
        <v>31</v>
      </c>
      <c r="AF33" s="2"/>
      <c r="AG33" s="2"/>
      <c r="AH33" s="2">
        <f t="shared" si="7"/>
        <v>0</v>
      </c>
      <c r="AI33" s="2">
        <f t="shared" si="18"/>
        <v>0</v>
      </c>
      <c r="AJ33" s="1">
        <v>31</v>
      </c>
      <c r="AK33" s="2"/>
      <c r="AL33" s="2"/>
      <c r="AM33" s="2">
        <f t="shared" si="8"/>
        <v>0</v>
      </c>
      <c r="AN33" s="2">
        <f t="shared" si="19"/>
        <v>0</v>
      </c>
      <c r="AO33" s="1">
        <v>31</v>
      </c>
      <c r="AP33" s="2"/>
      <c r="AQ33" s="2"/>
      <c r="AR33" s="2">
        <f t="shared" si="9"/>
        <v>0</v>
      </c>
      <c r="AS33" s="2">
        <f t="shared" si="20"/>
        <v>0</v>
      </c>
      <c r="AT33" s="1">
        <v>31</v>
      </c>
      <c r="AU33" s="2"/>
      <c r="AV33" s="2"/>
      <c r="AW33" s="2">
        <f t="shared" si="10"/>
        <v>0</v>
      </c>
      <c r="AX33" s="2">
        <f t="shared" si="21"/>
        <v>0</v>
      </c>
      <c r="AY33" s="1">
        <v>31</v>
      </c>
      <c r="AZ33" s="2"/>
      <c r="BA33" s="2"/>
      <c r="BB33" s="2">
        <f t="shared" si="11"/>
        <v>0</v>
      </c>
      <c r="BC33" s="2">
        <f t="shared" si="22"/>
        <v>0</v>
      </c>
      <c r="BD33" s="1">
        <v>31</v>
      </c>
      <c r="BE33" s="2"/>
      <c r="BF33" s="2"/>
      <c r="BG33" s="2">
        <f t="shared" si="12"/>
        <v>0</v>
      </c>
      <c r="BH33" s="2">
        <f t="shared" si="23"/>
        <v>0</v>
      </c>
    </row>
    <row r="34" spans="1:60" x14ac:dyDescent="0.25">
      <c r="A34" s="1" t="s">
        <v>0</v>
      </c>
      <c r="B34" s="2">
        <f>SUM(B3:B33)</f>
        <v>1</v>
      </c>
      <c r="C34" s="2">
        <f>SUM(C3:C33)</f>
        <v>1</v>
      </c>
      <c r="D34" s="2" t="s">
        <v>18</v>
      </c>
      <c r="E34" s="2">
        <f>B34*0.2</f>
        <v>0.2</v>
      </c>
      <c r="F34" s="1" t="s">
        <v>0</v>
      </c>
      <c r="G34" s="2">
        <f>SUM(G3:G33)</f>
        <v>1</v>
      </c>
      <c r="H34" s="2">
        <f>SUM(H3:H33)</f>
        <v>1</v>
      </c>
      <c r="I34" s="2" t="s">
        <v>18</v>
      </c>
      <c r="J34" s="2">
        <f>IF((E33+G34)&lt;=0,0,(E33+G34)*0.2)</f>
        <v>0.2</v>
      </c>
      <c r="K34" s="1" t="s">
        <v>0</v>
      </c>
      <c r="L34" s="2">
        <f>SUM(L3:L33)</f>
        <v>1</v>
      </c>
      <c r="M34" s="2">
        <f>SUM(M3:M33)</f>
        <v>1</v>
      </c>
      <c r="N34" s="2" t="s">
        <v>18</v>
      </c>
      <c r="O34" s="2">
        <f>IF((J33+L34)&lt;=0,0,(J33+L34)*0.2)</f>
        <v>0.2</v>
      </c>
      <c r="P34" s="1" t="s">
        <v>0</v>
      </c>
      <c r="Q34" s="2">
        <f t="shared" ref="Q34:R34" si="24">SUM(Q3:Q33)</f>
        <v>1</v>
      </c>
      <c r="R34" s="2">
        <f t="shared" si="24"/>
        <v>1</v>
      </c>
      <c r="S34" s="2" t="s">
        <v>18</v>
      </c>
      <c r="T34" s="2">
        <f>IF((O33+Q34)&lt;=0,0,(O33+Q34)*0.2)</f>
        <v>0.2</v>
      </c>
      <c r="U34" s="1" t="s">
        <v>0</v>
      </c>
      <c r="V34" s="2">
        <f t="shared" ref="V34:W34" si="25">SUM(V3:V33)</f>
        <v>1</v>
      </c>
      <c r="W34" s="2">
        <f t="shared" si="25"/>
        <v>1</v>
      </c>
      <c r="X34" s="2" t="s">
        <v>18</v>
      </c>
      <c r="Y34" s="2">
        <f>IF((T33+V34)&lt;=0,0,(T33+V34)*0.2)</f>
        <v>0.2</v>
      </c>
      <c r="Z34" s="1" t="s">
        <v>0</v>
      </c>
      <c r="AA34" s="2">
        <f t="shared" ref="AA34:AB34" si="26">SUM(AA3:AA33)</f>
        <v>1</v>
      </c>
      <c r="AB34" s="2">
        <f t="shared" si="26"/>
        <v>1</v>
      </c>
      <c r="AC34" s="2" t="s">
        <v>18</v>
      </c>
      <c r="AD34" s="2">
        <f>IF((Y33+AA34)&lt;=0,0,(Y33+AA34)*0.2)</f>
        <v>0.2</v>
      </c>
      <c r="AE34" s="1" t="s">
        <v>0</v>
      </c>
      <c r="AF34" s="2">
        <f t="shared" ref="AF34:AG34" si="27">SUM(AF3:AF33)</f>
        <v>1</v>
      </c>
      <c r="AG34" s="2">
        <f t="shared" si="27"/>
        <v>1</v>
      </c>
      <c r="AH34" s="2" t="s">
        <v>18</v>
      </c>
      <c r="AI34" s="2">
        <f>IF((AD33+AF34)&lt;=0,0,(AD33+AF34)*0.2)</f>
        <v>0.2</v>
      </c>
      <c r="AJ34" s="1" t="s">
        <v>0</v>
      </c>
      <c r="AK34" s="2">
        <f t="shared" ref="AK34:AL34" si="28">SUM(AK3:AK33)</f>
        <v>1</v>
      </c>
      <c r="AL34" s="2">
        <f t="shared" si="28"/>
        <v>1</v>
      </c>
      <c r="AM34" s="2" t="s">
        <v>18</v>
      </c>
      <c r="AN34" s="2">
        <f>IF((AI33+AK34)&lt;=0,0,(AI33+AK34)*0.2)</f>
        <v>0.2</v>
      </c>
      <c r="AO34" s="1" t="s">
        <v>0</v>
      </c>
      <c r="AP34" s="2">
        <f t="shared" ref="AP34:AQ34" si="29">SUM(AP3:AP33)</f>
        <v>1</v>
      </c>
      <c r="AQ34" s="2">
        <f t="shared" si="29"/>
        <v>1</v>
      </c>
      <c r="AR34" s="2" t="s">
        <v>18</v>
      </c>
      <c r="AS34" s="2">
        <f>IF((AN33+AP34)&lt;=0,0,(AN33+AP34)*0.2)</f>
        <v>0.2</v>
      </c>
      <c r="AT34" s="1" t="s">
        <v>0</v>
      </c>
      <c r="AU34" s="2">
        <f t="shared" ref="AU34:AV34" si="30">SUM(AU3:AU33)</f>
        <v>1</v>
      </c>
      <c r="AV34" s="2">
        <f t="shared" si="30"/>
        <v>1</v>
      </c>
      <c r="AW34" s="2" t="s">
        <v>18</v>
      </c>
      <c r="AX34" s="2">
        <f>IF((AS33+AU34)&lt;=0,0,(AS33+AU34)*0.2)</f>
        <v>0.2</v>
      </c>
      <c r="AY34" s="1" t="s">
        <v>0</v>
      </c>
      <c r="AZ34" s="2">
        <f t="shared" ref="AZ34:BA34" si="31">SUM(AZ3:AZ33)</f>
        <v>1</v>
      </c>
      <c r="BA34" s="2">
        <f t="shared" si="31"/>
        <v>1</v>
      </c>
      <c r="BB34" s="2" t="s">
        <v>18</v>
      </c>
      <c r="BC34" s="2">
        <f>IF((AX33+AZ34)&lt;=0,0,(AX33+AZ34)*0.2)</f>
        <v>0.2</v>
      </c>
      <c r="BD34" s="1" t="s">
        <v>0</v>
      </c>
      <c r="BE34" s="2">
        <f t="shared" ref="BE34:BF34" si="32">SUM(BE3:BE33)</f>
        <v>1</v>
      </c>
      <c r="BF34" s="2">
        <f t="shared" si="32"/>
        <v>1</v>
      </c>
      <c r="BG34" s="2" t="s">
        <v>18</v>
      </c>
      <c r="BH34" s="2">
        <f>IF((BC33+BE34)&lt;=0,0,(BC33+BE34)*0.2)</f>
        <v>0.2</v>
      </c>
    </row>
    <row r="35" spans="1:60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6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60" x14ac:dyDescent="0.25">
      <c r="M37" s="3"/>
    </row>
  </sheetData>
  <mergeCells count="13">
    <mergeCell ref="BI1:BJ1"/>
    <mergeCell ref="K1:O1"/>
    <mergeCell ref="F1:J1"/>
    <mergeCell ref="A1:E1"/>
    <mergeCell ref="BD1:BH1"/>
    <mergeCell ref="AY1:BC1"/>
    <mergeCell ref="AT1:AX1"/>
    <mergeCell ref="AO1:AS1"/>
    <mergeCell ref="AJ1:AN1"/>
    <mergeCell ref="AE1:AI1"/>
    <mergeCell ref="Z1:AD1"/>
    <mergeCell ref="U1:Y1"/>
    <mergeCell ref="P1:T1"/>
  </mergeCells>
  <conditionalFormatting sqref="E3:E33">
    <cfRule type="expression" dxfId="59" priority="59">
      <formula>AND(E3&gt;=-$BJ$2,E3&lt;0)</formula>
    </cfRule>
    <cfRule type="expression" dxfId="58" priority="58">
      <formula>AND(E3&gt;=0,E3&lt;=$BJ$2)</formula>
    </cfRule>
    <cfRule type="expression" dxfId="57" priority="57">
      <formula>AND(E3&gt;$BJ$2/2,E3&lt;$BJ$2)</formula>
    </cfRule>
    <cfRule type="expression" dxfId="56" priority="56">
      <formula>E3&gt;=$BJ$2</formula>
    </cfRule>
    <cfRule type="expression" dxfId="55" priority="60">
      <formula>E3&lt;-$BJ$2</formula>
    </cfRule>
  </conditionalFormatting>
  <conditionalFormatting sqref="J3:J33">
    <cfRule type="expression" dxfId="54" priority="53">
      <formula>AND(J3&gt;=0,J3&lt;=$BJ$2)</formula>
    </cfRule>
    <cfRule type="expression" dxfId="53" priority="55">
      <formula>J3&lt;-$BJ$2</formula>
    </cfRule>
    <cfRule type="expression" dxfId="52" priority="54">
      <formula>AND(J3&gt;=-$BJ$2,J3&lt;0)</formula>
    </cfRule>
    <cfRule type="expression" dxfId="51" priority="52">
      <formula>AND(J3&gt;$BJ$2/2,J3&lt;$BJ$2)</formula>
    </cfRule>
    <cfRule type="expression" dxfId="50" priority="51">
      <formula>J3&gt;=$BJ$2</formula>
    </cfRule>
  </conditionalFormatting>
  <conditionalFormatting sqref="O3:O33">
    <cfRule type="expression" dxfId="49" priority="46">
      <formula>O3&gt;=$BJ$2</formula>
    </cfRule>
    <cfRule type="expression" dxfId="48" priority="50">
      <formula>O3&lt;-$BJ$2</formula>
    </cfRule>
    <cfRule type="expression" dxfId="47" priority="49">
      <formula>AND(O3&gt;=-$BJ$2,O3&lt;0)</formula>
    </cfRule>
    <cfRule type="expression" dxfId="46" priority="48">
      <formula>AND(O3&gt;=0,O3&lt;=$BJ$2)</formula>
    </cfRule>
    <cfRule type="expression" dxfId="45" priority="47">
      <formula>AND(O3&gt;$BJ$2/2,O3&lt;$BJ$2)</formula>
    </cfRule>
  </conditionalFormatting>
  <conditionalFormatting sqref="T3:T33">
    <cfRule type="expression" dxfId="44" priority="41">
      <formula>" =X4&gt;=$BW$3"</formula>
    </cfRule>
    <cfRule type="expression" dxfId="43" priority="45">
      <formula>T3&lt;-$BJ$2</formula>
    </cfRule>
    <cfRule type="expression" dxfId="42" priority="44">
      <formula>AND(T3&gt;=-$BJ$2,T3&lt;0)</formula>
    </cfRule>
    <cfRule type="expression" dxfId="41" priority="43">
      <formula>AND(T3&gt;=0,T3&lt;=$BJ$2)</formula>
    </cfRule>
    <cfRule type="expression" dxfId="40" priority="42">
      <formula>AND(T3&gt;$BJ$2/2,T3&lt;$BJ$2)</formula>
    </cfRule>
  </conditionalFormatting>
  <conditionalFormatting sqref="Y3:Y33">
    <cfRule type="expression" dxfId="39" priority="40">
      <formula>Y3&lt;-$BJ$2</formula>
    </cfRule>
    <cfRule type="expression" dxfId="38" priority="39">
      <formula>AND(Y3&gt;=-$BJ$2,Y3&lt;0)</formula>
    </cfRule>
    <cfRule type="expression" dxfId="37" priority="37">
      <formula>AND(Y3&gt;$BJ$2/2,Y3&lt;$BJ$2)</formula>
    </cfRule>
    <cfRule type="expression" dxfId="36" priority="36">
      <formula>Y3&gt;=$BJ$2</formula>
    </cfRule>
    <cfRule type="expression" dxfId="35" priority="38">
      <formula>AND(Y3&gt;=0,Y3&lt;=$BJ$2)</formula>
    </cfRule>
  </conditionalFormatting>
  <conditionalFormatting sqref="AD3:AD33">
    <cfRule type="expression" dxfId="34" priority="31">
      <formula>AD3&gt;=$BJ$2</formula>
    </cfRule>
    <cfRule type="expression" dxfId="33" priority="32">
      <formula>AND(AD3&gt;$BJ$2/2,AD3&lt;$BJ$2)</formula>
    </cfRule>
    <cfRule type="expression" dxfId="32" priority="33">
      <formula>AND(AD3&gt;=0,AJ&lt;=$BJ$2)</formula>
    </cfRule>
    <cfRule type="expression" dxfId="31" priority="34">
      <formula>AND(AD3&gt;=-$BJ$2,AD3&lt;0)</formula>
    </cfRule>
    <cfRule type="expression" dxfId="30" priority="35">
      <formula>AD3&lt;-$BJ$2</formula>
    </cfRule>
  </conditionalFormatting>
  <conditionalFormatting sqref="AI3:AI33">
    <cfRule type="expression" dxfId="29" priority="30">
      <formula>AI3&lt;-$BJ$2</formula>
    </cfRule>
    <cfRule type="expression" dxfId="28" priority="29">
      <formula>AND(AI3&gt;=-$BJ$2,AI3&lt;0)</formula>
    </cfRule>
    <cfRule type="expression" dxfId="27" priority="28">
      <formula>AND(AI3&gt;=0,AI3&lt;=$BJ$2)</formula>
    </cfRule>
    <cfRule type="expression" dxfId="26" priority="27">
      <formula>AND(AI3&gt;$BJ$2/2,AI3&lt;$BJ$2)</formula>
    </cfRule>
    <cfRule type="expression" dxfId="25" priority="26">
      <formula>AI3&gt;=$BJ$2</formula>
    </cfRule>
  </conditionalFormatting>
  <conditionalFormatting sqref="AN3:AN33">
    <cfRule type="expression" dxfId="24" priority="24">
      <formula>AND(AN3&gt;=-$BJ$2,AN3&lt;0)</formula>
    </cfRule>
    <cfRule type="expression" dxfId="23" priority="25">
      <formula>AN3&lt;-$BJ$2</formula>
    </cfRule>
    <cfRule type="expression" dxfId="22" priority="23">
      <formula>AND(AN3&gt;=0,AN3&lt;=$BJ$2)</formula>
    </cfRule>
    <cfRule type="expression" dxfId="21" priority="22">
      <formula>AND(AN3&gt;$BJ$2/2,AN3&lt;$BJ$2)</formula>
    </cfRule>
    <cfRule type="expression" dxfId="20" priority="21">
      <formula>AN3&gt;=$BJ$2</formula>
    </cfRule>
  </conditionalFormatting>
  <conditionalFormatting sqref="AS3:AS33">
    <cfRule type="expression" dxfId="19" priority="20">
      <formula>AS3&lt;-$BJ$2</formula>
    </cfRule>
    <cfRule type="expression" dxfId="18" priority="19">
      <formula>AND(AS3&gt;=-$BJ$2,AS3&lt;0)</formula>
    </cfRule>
    <cfRule type="expression" dxfId="17" priority="18">
      <formula>AND(AS3&gt;=0,AS3&lt;=$BJ$2)</formula>
    </cfRule>
    <cfRule type="expression" dxfId="16" priority="17">
      <formula>AND(AS3&gt;$BJ$2/2,AS3&lt;$BJ$2)</formula>
    </cfRule>
    <cfRule type="expression" dxfId="15" priority="16">
      <formula>AS3&gt;=$BJ$2</formula>
    </cfRule>
  </conditionalFormatting>
  <conditionalFormatting sqref="AX3:AX33">
    <cfRule type="expression" dxfId="14" priority="15">
      <formula>AX3&lt;-$BJ$2</formula>
    </cfRule>
    <cfRule type="expression" dxfId="13" priority="14">
      <formula>AND(AX3&gt;=-$BJ$2,AX3&lt;0)</formula>
    </cfRule>
    <cfRule type="expression" dxfId="12" priority="13">
      <formula>AND(AX3&gt;=0,AX3&lt;=$BJ$2)</formula>
    </cfRule>
    <cfRule type="expression" dxfId="11" priority="12">
      <formula>AND(AX3&gt;$BJ$2/2,AX3&lt;$BJ$2)</formula>
    </cfRule>
    <cfRule type="expression" dxfId="10" priority="11">
      <formula>AX3&gt;=$BJ$2</formula>
    </cfRule>
  </conditionalFormatting>
  <conditionalFormatting sqref="BC3:BC33">
    <cfRule type="expression" dxfId="9" priority="8">
      <formula>AND(BC3&gt;=0,BC3&lt;=$BJ$2)</formula>
    </cfRule>
    <cfRule type="expression" dxfId="8" priority="10">
      <formula>BC3&lt;-$BJ$2</formula>
    </cfRule>
    <cfRule type="expression" dxfId="7" priority="9">
      <formula>AND(BC3&gt;=-$BJ$2,BC3&lt;0)</formula>
    </cfRule>
    <cfRule type="expression" dxfId="6" priority="7">
      <formula>AND(BC3&gt;$BJ$2/2,BC3&lt;$BJ$2)</formula>
    </cfRule>
    <cfRule type="expression" dxfId="5" priority="6">
      <formula>BC3&gt;=$BJ$2</formula>
    </cfRule>
  </conditionalFormatting>
  <conditionalFormatting sqref="BH3:BH33">
    <cfRule type="expression" dxfId="4" priority="2">
      <formula>AND(BH3&gt;$BJ$2/2,BH3&lt;$BJ$2)</formula>
    </cfRule>
    <cfRule type="expression" dxfId="3" priority="3">
      <formula>AND(BH3&gt;=0,BH3&lt;=$BJ$2)</formula>
    </cfRule>
    <cfRule type="expression" dxfId="2" priority="4">
      <formula>AND(BH3&gt;=-$BJ$2,BH3&lt;0)</formula>
    </cfRule>
    <cfRule type="expression" dxfId="1" priority="5">
      <formula>BH3&lt;-$BJ$2</formula>
    </cfRule>
    <cfRule type="expression" dxfId="0" priority="1">
      <formula>BH3&gt;=$BJ$2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2026</vt:lpstr>
      <vt:lpstr>Tabela_Base</vt:lpstr>
      <vt:lpstr>tBase</vt:lpstr>
      <vt:lpstr>tbaseteste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Costa</dc:creator>
  <cp:lastModifiedBy>Pedro Costa</cp:lastModifiedBy>
  <dcterms:created xsi:type="dcterms:W3CDTF">2026-01-07T20:39:57Z</dcterms:created>
  <dcterms:modified xsi:type="dcterms:W3CDTF">2026-02-16T13:20:17Z</dcterms:modified>
</cp:coreProperties>
</file>